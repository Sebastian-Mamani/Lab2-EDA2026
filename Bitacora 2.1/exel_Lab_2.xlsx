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bookViews>
    <workbookView xWindow="0" yWindow="0" windowWidth="38400" windowHeight="17610"/>
  </bookViews>
  <sheets>
    <sheet name="Fila" sheetId="1" r:id="rId1"/>
    <sheet name="Pila" sheetId="2" r:id="rId2"/>
    <sheet name="Resume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S3" i="2"/>
  <c r="S4" i="2"/>
  <c r="S5" i="2"/>
  <c r="S6" i="2"/>
  <c r="S7" i="2"/>
  <c r="S8" i="2"/>
  <c r="S9" i="2"/>
  <c r="S10" i="2"/>
  <c r="R3" i="2"/>
  <c r="R4" i="2"/>
  <c r="R5" i="2"/>
  <c r="R6" i="2"/>
  <c r="R7" i="2"/>
  <c r="R8" i="2"/>
  <c r="R9" i="2"/>
  <c r="R10" i="2"/>
  <c r="Q3" i="2"/>
  <c r="Q4" i="2"/>
  <c r="Q5" i="2"/>
  <c r="Q6" i="2"/>
  <c r="Q7" i="2"/>
  <c r="Q8" i="2"/>
  <c r="Q9" i="2"/>
  <c r="Q10" i="2"/>
  <c r="P3" i="2"/>
  <c r="P4" i="2"/>
  <c r="P5" i="2"/>
  <c r="P6" i="2"/>
  <c r="P7" i="2"/>
  <c r="P8" i="2"/>
  <c r="P9" i="2"/>
  <c r="P10" i="2"/>
  <c r="O3" i="2"/>
  <c r="O4" i="2"/>
  <c r="O5" i="2"/>
  <c r="O6" i="2"/>
  <c r="O7" i="2"/>
  <c r="O8" i="2"/>
  <c r="O9" i="2"/>
  <c r="O10" i="2"/>
  <c r="J3" i="2"/>
  <c r="J4" i="2"/>
  <c r="J5" i="2"/>
  <c r="J6" i="2"/>
  <c r="J7" i="2"/>
  <c r="J8" i="2"/>
  <c r="J9" i="2"/>
  <c r="J10" i="2"/>
  <c r="T2" i="2"/>
  <c r="S2" i="2"/>
  <c r="R2" i="2"/>
  <c r="Q2" i="2"/>
  <c r="P2" i="2"/>
  <c r="O2" i="2"/>
  <c r="J2" i="2"/>
  <c r="I3" i="2"/>
  <c r="I4" i="2"/>
  <c r="I5" i="2"/>
  <c r="I6" i="2"/>
  <c r="I7" i="2"/>
  <c r="I8" i="2"/>
  <c r="I9" i="2"/>
  <c r="I10" i="2"/>
  <c r="I2" i="2"/>
  <c r="U3" i="1"/>
  <c r="U4" i="1"/>
  <c r="U5" i="1"/>
  <c r="U6" i="1"/>
  <c r="U7" i="1"/>
  <c r="U8" i="1"/>
  <c r="U9" i="1"/>
  <c r="U10" i="1"/>
  <c r="T3" i="1"/>
  <c r="T4" i="1"/>
  <c r="T5" i="1"/>
  <c r="T6" i="1"/>
  <c r="T7" i="1"/>
  <c r="T8" i="1"/>
  <c r="T9" i="1"/>
  <c r="T10" i="1"/>
  <c r="S3" i="1"/>
  <c r="S4" i="1"/>
  <c r="S5" i="1"/>
  <c r="S6" i="1"/>
  <c r="S7" i="1"/>
  <c r="S8" i="1"/>
  <c r="S9" i="1"/>
  <c r="S10" i="1"/>
  <c r="R3" i="1"/>
  <c r="R4" i="1"/>
  <c r="R5" i="1"/>
  <c r="R6" i="1"/>
  <c r="R7" i="1"/>
  <c r="R8" i="1"/>
  <c r="R9" i="1"/>
  <c r="R10" i="1"/>
  <c r="Q3" i="1"/>
  <c r="Q4" i="1"/>
  <c r="Q5" i="1"/>
  <c r="Q6" i="1"/>
  <c r="Q7" i="1"/>
  <c r="Q8" i="1"/>
  <c r="Q9" i="1"/>
  <c r="Q10" i="1"/>
  <c r="P3" i="1"/>
  <c r="P4" i="1"/>
  <c r="P5" i="1"/>
  <c r="P6" i="1"/>
  <c r="P7" i="1"/>
  <c r="P8" i="1"/>
  <c r="P9" i="1"/>
  <c r="P10" i="1"/>
  <c r="U2" i="1"/>
  <c r="T2" i="1"/>
  <c r="S2" i="1"/>
  <c r="R2" i="1"/>
  <c r="Q2" i="1"/>
  <c r="P2" i="1"/>
  <c r="K3" i="1"/>
  <c r="K4" i="1"/>
  <c r="K5" i="1"/>
  <c r="K6" i="1"/>
  <c r="K7" i="1"/>
  <c r="K8" i="1"/>
  <c r="K9" i="1"/>
  <c r="K10" i="1"/>
  <c r="K2" i="1"/>
  <c r="J10" i="1"/>
  <c r="J9" i="1"/>
  <c r="J8" i="1"/>
  <c r="J7" i="1"/>
  <c r="J6" i="1"/>
  <c r="J4" i="1"/>
  <c r="J5" i="1"/>
  <c r="J3" i="1"/>
  <c r="J2" i="1"/>
  <c r="N3" i="2"/>
  <c r="N10" i="2"/>
  <c r="N4" i="2"/>
  <c r="N5" i="2"/>
  <c r="N7" i="2"/>
  <c r="N9" i="2"/>
  <c r="N6" i="2"/>
  <c r="N8" i="2"/>
  <c r="M3" i="2"/>
  <c r="M4" i="2"/>
  <c r="M5" i="2"/>
  <c r="M7" i="2"/>
  <c r="M8" i="2"/>
  <c r="M10" i="2"/>
  <c r="M6" i="2"/>
  <c r="M9" i="2"/>
  <c r="L5" i="2"/>
  <c r="L6" i="2"/>
  <c r="L7" i="2"/>
  <c r="L3" i="2"/>
  <c r="L8" i="2"/>
  <c r="L9" i="2"/>
  <c r="L10" i="2"/>
  <c r="L4" i="2"/>
  <c r="K4" i="2"/>
  <c r="K6" i="2"/>
  <c r="K8" i="2"/>
  <c r="K9" i="2"/>
  <c r="K3" i="2"/>
  <c r="K5" i="2"/>
  <c r="K7" i="2"/>
  <c r="K10" i="2"/>
  <c r="N2" i="2"/>
  <c r="M2" i="2"/>
  <c r="K2" i="2"/>
  <c r="L2" i="2"/>
  <c r="O4" i="1"/>
  <c r="O8" i="1"/>
  <c r="O5" i="1"/>
  <c r="O6" i="1"/>
  <c r="O7" i="1"/>
  <c r="O9" i="1"/>
  <c r="O10" i="1"/>
  <c r="O3" i="1"/>
  <c r="N5" i="1"/>
  <c r="N6" i="1"/>
  <c r="N7" i="1"/>
  <c r="N8" i="1"/>
  <c r="N9" i="1"/>
  <c r="N10" i="1"/>
  <c r="N3" i="1"/>
  <c r="N4" i="1"/>
  <c r="M4" i="1"/>
  <c r="M7" i="1"/>
  <c r="M10" i="1"/>
  <c r="M5" i="1"/>
  <c r="M6" i="1"/>
  <c r="M8" i="1"/>
  <c r="M9" i="1"/>
  <c r="M3" i="1"/>
  <c r="O2" i="1"/>
  <c r="N2" i="1"/>
  <c r="M2" i="1"/>
  <c r="L6" i="1"/>
  <c r="L10" i="1"/>
  <c r="L4" i="1"/>
  <c r="L7" i="1"/>
  <c r="L8" i="1"/>
  <c r="L9" i="1"/>
  <c r="L3" i="1"/>
  <c r="L5" i="1"/>
  <c r="L2" i="1"/>
</calcChain>
</file>

<file path=xl/sharedStrings.xml><?xml version="1.0" encoding="utf-8"?>
<sst xmlns="http://schemas.openxmlformats.org/spreadsheetml/2006/main" count="40" uniqueCount="26">
  <si>
    <t>n</t>
  </si>
  <si>
    <t>repeticion</t>
  </si>
  <si>
    <t>tEnlazada</t>
  </si>
  <si>
    <t>tArreglo</t>
  </si>
  <si>
    <t>redimensionamiento</t>
  </si>
  <si>
    <t>capacidad Maxima</t>
  </si>
  <si>
    <t>prom Enlazada</t>
  </si>
  <si>
    <t>Min Enlazada</t>
  </si>
  <si>
    <t>Max Enlazada</t>
  </si>
  <si>
    <t>Min Arreglo</t>
  </si>
  <si>
    <t>Max Arreglo</t>
  </si>
  <si>
    <t>Desv Enlazada</t>
  </si>
  <si>
    <t>Desv Arreglo</t>
  </si>
  <si>
    <t>CV Arreglo</t>
  </si>
  <si>
    <t>Prom CapMax</t>
  </si>
  <si>
    <t>CV arreglo</t>
  </si>
  <si>
    <t>seed</t>
  </si>
  <si>
    <t>PROMEDIO.SI(A:A; I2; G:G)</t>
  </si>
  <si>
    <t>Min enlazada</t>
  </si>
  <si>
    <t>CV Enlazada</t>
  </si>
  <si>
    <t>Prom Redmen</t>
  </si>
  <si>
    <t>Prom Arreglo</t>
  </si>
  <si>
    <t>Prom Enlazada</t>
  </si>
  <si>
    <t>capacidadMax</t>
  </si>
  <si>
    <t>CV Aenlazada</t>
  </si>
  <si>
    <t>Prom Redmi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</si>
</sst>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76"/>
  <sheetViews>
    <sheetView tabSelected="1" workbookViewId="0">
      <selection activeCell="G1" sqref="G1"/>
    </sheetView>
  </sheetViews>
  <sheetFormatPr baseColWidth="10" defaultRowHeight="15"/>
  <cols>
    <col min="2" max="2" width="10.140625" bestFit="1" customWidth="1"/>
    <col min="5" max="6" width="20.28515625" customWidth="1"/>
    <col min="7" max="7" width="17.140625" customWidth="1"/>
    <col min="9" max="9" width="13.7109375" customWidth="1"/>
    <col min="10" max="10" width="14.5703125" customWidth="1"/>
    <col min="11" max="11" width="12.7109375" customWidth="1"/>
    <col min="12" max="12" width="12.5703125" customWidth="1"/>
    <col min="13" max="13" width="13.28515625" customWidth="1"/>
    <col min="15" max="15" width="13.28515625" customWidth="1"/>
    <col min="16" max="17" width="14.28515625" customWidth="1"/>
    <col min="18" max="18" width="28.42578125" customWidth="1"/>
    <col min="19" max="19" width="14.7109375" customWidth="1"/>
    <col min="20" max="20" width="15.7109375" customWidth="1"/>
    <col min="21" max="21" width="17.7109375" customWidth="1"/>
  </cols>
  <sheetData>
    <row r="1" spans="1:21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4</v>
      </c>
      <c r="G1" t="s">
        <v>5</v>
      </c>
      <c r="I1" t="s">
        <v>0</v>
      </c>
      <c r="J1" s="1" t="s">
        <v>22</v>
      </c>
      <c r="K1" s="1" t="s">
        <v>21</v>
      </c>
      <c r="L1" s="1" t="s">
        <v>18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19</v>
      </c>
      <c r="S1" s="1" t="s">
        <v>15</v>
      </c>
      <c r="T1" s="1" t="s">
        <v>20</v>
      </c>
      <c r="U1" s="1" t="s">
        <v>14</v>
      </c>
    </row>
    <row r="2" spans="1:21">
      <c r="A2">
        <v>1024</v>
      </c>
      <c r="I2">
        <v>1024</v>
      </c>
      <c r="J2" s="2">
        <f>IFERROR(AVERAGEIF(A:A, I2, D:D), 0)</f>
        <v>0</v>
      </c>
      <c r="K2" s="1">
        <f>IFERROR(AVERAGEIF(A:A, I2, E:E), 0)</f>
        <v>0</v>
      </c>
      <c r="L2" s="1">
        <f ca="1">IFERROR(MIN.SI.CONJUNTO(D:D, A:A, I2), 0)</f>
        <v>0</v>
      </c>
      <c r="M2" s="1">
        <f ca="1">IFERROR(MAX.SI.CONJUNTO(D:D, A:A, I2), 0)</f>
        <v>0</v>
      </c>
      <c r="N2">
        <f ca="1">IFERROR(MIN.SI.CONJUNTO(E:E, A:A, I2), 0)</f>
        <v>0</v>
      </c>
      <c r="O2" s="1">
        <f ca="1">IFERROR(MAX.SI.CONJUNTO(E:E, A:A, I2), 0)</f>
        <v>0</v>
      </c>
      <c r="P2" s="1">
        <f>IFERROR(_xlfn.STDEV.S(IF(A$2:A$3000=I2, D$2:D$3000)), 0)</f>
        <v>0</v>
      </c>
      <c r="Q2">
        <f>IFERROR(_xlfn.STDEV.S(IF(A$2:A$3000=I2, E$2:E$3000)), 0)</f>
        <v>0</v>
      </c>
      <c r="R2" s="1">
        <f>IFERROR(P2/J2, 0)</f>
        <v>0</v>
      </c>
      <c r="S2">
        <f>IFERROR(Q2/K2, 0)</f>
        <v>0</v>
      </c>
      <c r="T2">
        <f>IFERROR(AVERAGEIF(A:A, I2, F:F), 0)</f>
        <v>0</v>
      </c>
      <c r="U2">
        <f>IFERROR(AVERAGEIF(A:A, I2, G:G), 0)</f>
        <v>0</v>
      </c>
    </row>
    <row r="3" spans="1:21">
      <c r="A3">
        <v>2048</v>
      </c>
      <c r="I3">
        <v>2048</v>
      </c>
      <c r="J3" s="2">
        <f>IFERROR(AVERAGEIF(A:A, I2, D:D), 0)</f>
        <v>0</v>
      </c>
      <c r="K3" s="1">
        <f t="shared" ref="K3:K10" si="0">IFERROR(AVERAGEIF(A:A, I3, E:E), 0)</f>
        <v>0</v>
      </c>
      <c r="L3" s="1">
        <f ca="1">IFERROR(MIN.SI.CONJUNTO(D:D, A:A, I3), 0)</f>
        <v>0</v>
      </c>
      <c r="M3" s="1">
        <f ca="1">IFERROR(MAX.SI.CONJUNTO(D:D, A:A, I3), 0)</f>
        <v>0</v>
      </c>
      <c r="N3">
        <f ca="1">IFERROR(MIN.SI.CONJUNTO(E:E, A:A, I3), 0)</f>
        <v>0</v>
      </c>
      <c r="O3" s="1">
        <f ca="1">IFERROR(MAX.SI.CONJUNTO(E:E, A:A, I3), 0)</f>
        <v>0</v>
      </c>
      <c r="P3" s="1">
        <f t="shared" ref="P3:P10" si="1">IFERROR(_xlfn.STDEV.S(IF(A$2:A$3000=I3, D$2:D$3000)), 0)</f>
        <v>0</v>
      </c>
      <c r="Q3">
        <f t="shared" ref="Q3:Q10" si="2">IFERROR(_xlfn.STDEV.S(IF(A$2:A$3000=I3, E$2:E$3000)), 0)</f>
        <v>0</v>
      </c>
      <c r="R3" s="1">
        <f t="shared" ref="R3:R10" si="3">IFERROR(P3/J3, 0)</f>
        <v>0</v>
      </c>
      <c r="S3">
        <f t="shared" ref="S3:S10" si="4">IFERROR(Q3/K3, 0)</f>
        <v>0</v>
      </c>
      <c r="T3">
        <f t="shared" ref="T3:T10" si="5">IFERROR(AVERAGEIF(A:A, I3, F:F), 0)</f>
        <v>0</v>
      </c>
      <c r="U3">
        <f t="shared" ref="U3:U10" si="6">IFERROR(AVERAGEIF(A:A, I3, G:G), 0)</f>
        <v>0</v>
      </c>
    </row>
    <row r="4" spans="1:21">
      <c r="A4">
        <v>4096</v>
      </c>
      <c r="I4">
        <v>4096</v>
      </c>
      <c r="J4" s="2">
        <f>IFERROR(AVERAGEIF(A:A, I2, D:D), 0)</f>
        <v>0</v>
      </c>
      <c r="K4" s="1">
        <f t="shared" si="0"/>
        <v>0</v>
      </c>
      <c r="L4" s="1">
        <f ca="1">IFERROR(MIN.SI.CONJUNTO(D:D, A:A, I4), 0)</f>
        <v>0</v>
      </c>
      <c r="M4" s="1">
        <f ca="1">IFERROR(MAX.SI.CONJUNTO(D:D, A:A, I4), 0)</f>
        <v>0</v>
      </c>
      <c r="N4">
        <f ca="1">IFERROR(MIN.SI.CONJUNTO(E:E, A:A, I4), 0)</f>
        <v>0</v>
      </c>
      <c r="O4" s="1">
        <f ca="1">IFERROR(MAX.SI.CONJUNTO(E:E, A:A, I4), 0)</f>
        <v>0</v>
      </c>
      <c r="P4" s="1">
        <f t="shared" si="1"/>
        <v>0</v>
      </c>
      <c r="Q4">
        <f t="shared" si="2"/>
        <v>0</v>
      </c>
      <c r="R4" s="1">
        <f t="shared" si="3"/>
        <v>0</v>
      </c>
      <c r="S4">
        <f t="shared" si="4"/>
        <v>0</v>
      </c>
      <c r="T4">
        <f t="shared" si="5"/>
        <v>0</v>
      </c>
      <c r="U4">
        <f t="shared" si="6"/>
        <v>0</v>
      </c>
    </row>
    <row r="5" spans="1:21">
      <c r="A5">
        <v>8192</v>
      </c>
      <c r="I5">
        <v>8192</v>
      </c>
      <c r="J5" s="2">
        <f>IFERROR(AVERAGEIF(A:A, I2, D:D), 0)</f>
        <v>0</v>
      </c>
      <c r="K5" s="1">
        <f t="shared" si="0"/>
        <v>0</v>
      </c>
      <c r="L5" s="1">
        <f ca="1">IFERROR(MIN.SI.CONJUNTO(D:D, A:A, I5), 0)</f>
        <v>0</v>
      </c>
      <c r="M5" s="1">
        <f ca="1">IFERROR(MAX.SI.CONJUNTO(D:D, A:A, I5), 0)</f>
        <v>0</v>
      </c>
      <c r="N5">
        <f ca="1">IFERROR(MIN.SI.CONJUNTO(E:E, A:A, I5), 0)</f>
        <v>0</v>
      </c>
      <c r="O5" s="1">
        <f ca="1">IFERROR(MAX.SI.CONJUNTO(E:E, A:A, I5), 0)</f>
        <v>0</v>
      </c>
      <c r="P5" s="1">
        <f t="shared" si="1"/>
        <v>0</v>
      </c>
      <c r="Q5">
        <f t="shared" si="2"/>
        <v>0</v>
      </c>
      <c r="R5" s="1">
        <f t="shared" si="3"/>
        <v>0</v>
      </c>
      <c r="S5">
        <f t="shared" si="4"/>
        <v>0</v>
      </c>
      <c r="T5">
        <f t="shared" si="5"/>
        <v>0</v>
      </c>
      <c r="U5">
        <f t="shared" si="6"/>
        <v>0</v>
      </c>
    </row>
    <row r="6" spans="1:21">
      <c r="A6">
        <v>16384</v>
      </c>
      <c r="I6">
        <v>16384</v>
      </c>
      <c r="J6" s="2">
        <f>IFERROR(AVERAGEIF(A:A, I2, D:D), 0)</f>
        <v>0</v>
      </c>
      <c r="K6" s="1">
        <f t="shared" si="0"/>
        <v>0</v>
      </c>
      <c r="L6" s="1">
        <f ca="1">IFERROR(MIN.SI.CONJUNTO(D:D, A:A, I6), 0)</f>
        <v>0</v>
      </c>
      <c r="M6" s="1">
        <f ca="1">IFERROR(MAX.SI.CONJUNTO(D:D, A:A, I6), 0)</f>
        <v>0</v>
      </c>
      <c r="N6">
        <f ca="1">IFERROR(MIN.SI.CONJUNTO(E:E, A:A, I6), 0)</f>
        <v>0</v>
      </c>
      <c r="O6" s="1">
        <f ca="1">IFERROR(MAX.SI.CONJUNTO(E:E, A:A, I6), 0)</f>
        <v>0</v>
      </c>
      <c r="P6" s="1">
        <f t="shared" si="1"/>
        <v>0</v>
      </c>
      <c r="Q6">
        <f t="shared" si="2"/>
        <v>0</v>
      </c>
      <c r="R6" s="1">
        <f t="shared" si="3"/>
        <v>0</v>
      </c>
      <c r="S6">
        <f t="shared" si="4"/>
        <v>0</v>
      </c>
      <c r="T6">
        <f t="shared" si="5"/>
        <v>0</v>
      </c>
      <c r="U6">
        <f t="shared" si="6"/>
        <v>0</v>
      </c>
    </row>
    <row r="7" spans="1:21">
      <c r="A7">
        <v>32768</v>
      </c>
      <c r="I7">
        <v>32768</v>
      </c>
      <c r="J7" s="2">
        <f>IFERROR(AVERAGEIF(A:A, I2, D:D), 0)</f>
        <v>0</v>
      </c>
      <c r="K7" s="1">
        <f t="shared" si="0"/>
        <v>0</v>
      </c>
      <c r="L7" s="1">
        <f ca="1">IFERROR(MIN.SI.CONJUNTO(D:D, A:A, I7), 0)</f>
        <v>0</v>
      </c>
      <c r="M7" s="1">
        <f ca="1">IFERROR(MAX.SI.CONJUNTO(D:D, A:A, I7), 0)</f>
        <v>0</v>
      </c>
      <c r="N7">
        <f ca="1">IFERROR(MIN.SI.CONJUNTO(E:E, A:A, I7), 0)</f>
        <v>0</v>
      </c>
      <c r="O7" s="1">
        <f ca="1">IFERROR(MAX.SI.CONJUNTO(E:E, A:A, I7), 0)</f>
        <v>0</v>
      </c>
      <c r="P7" s="1">
        <f t="shared" si="1"/>
        <v>0</v>
      </c>
      <c r="Q7">
        <f t="shared" si="2"/>
        <v>0</v>
      </c>
      <c r="R7" s="1">
        <f t="shared" si="3"/>
        <v>0</v>
      </c>
      <c r="S7">
        <f t="shared" si="4"/>
        <v>0</v>
      </c>
      <c r="T7">
        <f t="shared" si="5"/>
        <v>0</v>
      </c>
      <c r="U7">
        <f t="shared" si="6"/>
        <v>0</v>
      </c>
    </row>
    <row r="8" spans="1:21">
      <c r="A8">
        <v>65536</v>
      </c>
      <c r="I8">
        <v>65536</v>
      </c>
      <c r="J8" s="2">
        <f>IFERROR(AVERAGEIF(A:A, I2, D:D), 0)</f>
        <v>0</v>
      </c>
      <c r="K8" s="1">
        <f t="shared" si="0"/>
        <v>0</v>
      </c>
      <c r="L8" s="1">
        <f ca="1">IFERROR(MIN.SI.CONJUNTO(D:D, A:A, I8), 0)</f>
        <v>0</v>
      </c>
      <c r="M8" s="1">
        <f ca="1">IFERROR(MAX.SI.CONJUNTO(D:D, A:A, I8), 0)</f>
        <v>0</v>
      </c>
      <c r="N8">
        <f ca="1">IFERROR(MIN.SI.CONJUNTO(E:E, A:A, I8), 0)</f>
        <v>0</v>
      </c>
      <c r="O8" s="1">
        <f ca="1">IFERROR(MAX.SI.CONJUNTO(E:E, A:A, I8), 0)</f>
        <v>0</v>
      </c>
      <c r="P8" s="1">
        <f t="shared" si="1"/>
        <v>0</v>
      </c>
      <c r="Q8">
        <f t="shared" si="2"/>
        <v>0</v>
      </c>
      <c r="R8" s="1">
        <f t="shared" si="3"/>
        <v>0</v>
      </c>
      <c r="S8">
        <f t="shared" si="4"/>
        <v>0</v>
      </c>
      <c r="T8">
        <f t="shared" si="5"/>
        <v>0</v>
      </c>
      <c r="U8">
        <f t="shared" si="6"/>
        <v>0</v>
      </c>
    </row>
    <row r="9" spans="1:21">
      <c r="A9">
        <v>131072</v>
      </c>
      <c r="I9">
        <v>131072</v>
      </c>
      <c r="J9" s="2">
        <f>IFERROR(AVERAGEIF(A:A, I2, D:D), 0)</f>
        <v>0</v>
      </c>
      <c r="K9" s="1">
        <f t="shared" si="0"/>
        <v>0</v>
      </c>
      <c r="L9" s="1">
        <f ca="1">IFERROR(MIN.SI.CONJUNTO(D:D, A:A, I9), 0)</f>
        <v>0</v>
      </c>
      <c r="M9" s="1">
        <f ca="1">IFERROR(MAX.SI.CONJUNTO(D:D, A:A, I9), 0)</f>
        <v>0</v>
      </c>
      <c r="N9">
        <f ca="1">IFERROR(MIN.SI.CONJUNTO(E:E, A:A, I9), 0)</f>
        <v>0</v>
      </c>
      <c r="O9" s="1">
        <f ca="1">IFERROR(MAX.SI.CONJUNTO(E:E, A:A, I9), 0)</f>
        <v>0</v>
      </c>
      <c r="P9" s="1">
        <f t="shared" si="1"/>
        <v>0</v>
      </c>
      <c r="Q9">
        <f t="shared" si="2"/>
        <v>0</v>
      </c>
      <c r="R9" s="1">
        <f t="shared" si="3"/>
        <v>0</v>
      </c>
      <c r="S9">
        <f t="shared" si="4"/>
        <v>0</v>
      </c>
      <c r="T9">
        <f t="shared" si="5"/>
        <v>0</v>
      </c>
      <c r="U9">
        <f t="shared" si="6"/>
        <v>0</v>
      </c>
    </row>
    <row r="10" spans="1:21">
      <c r="A10">
        <v>262144</v>
      </c>
      <c r="I10">
        <v>262144</v>
      </c>
      <c r="J10" s="2">
        <f>IFERROR(AVERAGEIF(A:A, I2, D:D), 0)</f>
        <v>0</v>
      </c>
      <c r="K10" s="1">
        <f t="shared" si="0"/>
        <v>0</v>
      </c>
      <c r="L10" s="1">
        <f ca="1">IFERROR(MIN.SI.CONJUNTO(D:D, A:A, I10), 0)</f>
        <v>0</v>
      </c>
      <c r="M10" s="1">
        <f ca="1">IFERROR(MAX.SI.CONJUNTO(D:D, A:A, I10), 0)</f>
        <v>0</v>
      </c>
      <c r="N10">
        <f ca="1">IFERROR(MIN.SI.CONJUNTO(E:E, A:A, I10), 0)</f>
        <v>0</v>
      </c>
      <c r="O10" s="1">
        <f ca="1">IFERROR(MAX.SI.CONJUNTO(E:E, A:A, I10), 0)</f>
        <v>0</v>
      </c>
      <c r="P10" s="1">
        <f t="shared" si="1"/>
        <v>0</v>
      </c>
      <c r="Q10">
        <f t="shared" si="2"/>
        <v>0</v>
      </c>
      <c r="R10" s="1">
        <f t="shared" si="3"/>
        <v>0</v>
      </c>
      <c r="S10">
        <f t="shared" si="4"/>
        <v>0</v>
      </c>
      <c r="T10">
        <f t="shared" si="5"/>
        <v>0</v>
      </c>
      <c r="U10">
        <f t="shared" si="6"/>
        <v>0</v>
      </c>
    </row>
    <row r="1048576" spans="21:21">
      <c r="U1048576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selection activeCell="C1" sqref="C1"/>
    </sheetView>
  </sheetViews>
  <sheetFormatPr baseColWidth="10" defaultRowHeight="15"/>
  <cols>
    <col min="5" max="5" width="19.85546875" customWidth="1"/>
    <col min="6" max="6" width="13.140625" customWidth="1"/>
    <col min="9" max="9" width="14.28515625" customWidth="1"/>
    <col min="10" max="10" width="13.7109375" customWidth="1"/>
    <col min="11" max="11" width="13.85546875" customWidth="1"/>
    <col min="12" max="12" width="12.85546875" customWidth="1"/>
    <col min="15" max="15" width="13.5703125" customWidth="1"/>
    <col min="16" max="16" width="12.28515625" customWidth="1"/>
    <col min="17" max="17" width="13" customWidth="1"/>
    <col min="19" max="19" width="12" customWidth="1"/>
    <col min="20" max="20" width="13.28515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H1" t="s">
        <v>0</v>
      </c>
      <c r="I1" t="s">
        <v>6</v>
      </c>
      <c r="J1" t="s">
        <v>21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24</v>
      </c>
      <c r="R1" t="s">
        <v>13</v>
      </c>
      <c r="S1" t="s">
        <v>25</v>
      </c>
      <c r="T1" t="s">
        <v>14</v>
      </c>
    </row>
    <row r="2" spans="1:20">
      <c r="H2">
        <v>1024</v>
      </c>
      <c r="I2">
        <f>IFERROR(AVERAGEIF(A:A, H2, C:C), 0)</f>
        <v>0</v>
      </c>
      <c r="J2">
        <f>IFERROR(AVERAGEIF(A:A, H2, D:D), 0)</f>
        <v>0</v>
      </c>
      <c r="K2">
        <f ca="1">IFERROR(MIN.SI.CONJUNTO(C:C, A:A, H2), 0)</f>
        <v>0</v>
      </c>
      <c r="L2">
        <f ca="1">IFERROR(MAX.SI.CONJUNTO(C:C, A:A, H2), 0)</f>
        <v>0</v>
      </c>
      <c r="M2">
        <f ca="1">IFERROR(MIN.SI.CONJUNTO(D:D, A:A, H2), 0)</f>
        <v>0</v>
      </c>
      <c r="N2">
        <f ca="1">IFERROR(MAX.SI.CONJUNTO(D:D, A:A, H2), 0)</f>
        <v>0</v>
      </c>
      <c r="O2">
        <f>IFERROR(_xlfn.STDEV.S(IF(A$2:A$3000=H2, C$2:C$3000)), 0)</f>
        <v>0</v>
      </c>
      <c r="P2">
        <f>IFERROR(_xlfn.STDEV.S(IF(A$2:A$3000=H2, D$2:D$3000)), 0)</f>
        <v>0</v>
      </c>
      <c r="Q2">
        <f>IFERROR(O2/I2, 0)</f>
        <v>0</v>
      </c>
      <c r="R2">
        <f>IFERROR(P2/J2, 0)</f>
        <v>0</v>
      </c>
      <c r="S2">
        <f>IFERROR(AVERAGEIF(A:A, H2, E:E), 0)</f>
        <v>0</v>
      </c>
      <c r="T2">
        <f>IFERROR(AVERAGEIF(A:A, H2, F:F), 0)</f>
        <v>0</v>
      </c>
    </row>
    <row r="3" spans="1:20">
      <c r="H3">
        <v>2048</v>
      </c>
      <c r="I3">
        <f t="shared" ref="I3:I10" si="0">IFERROR(AVERAGEIF(A:A, H3, C:C), 0)</f>
        <v>0</v>
      </c>
      <c r="J3">
        <f t="shared" ref="J3:J10" si="1">IFERROR(AVERAGEIF(A:A, H3, D:D), 0)</f>
        <v>0</v>
      </c>
      <c r="K3">
        <f ca="1">IFERROR(MIN.SI.CONJUNTO(C:C, A:A, H3), 0)</f>
        <v>0</v>
      </c>
      <c r="L3">
        <f ca="1">IFERROR(MAX.SI.CONJUNTO(C:C, A:A, H3), 0)</f>
        <v>0</v>
      </c>
      <c r="M3">
        <f ca="1">IFERROR(MIN.SI.CONJUNTO(D:D, A:A, H3), 0)</f>
        <v>0</v>
      </c>
      <c r="N3">
        <f ca="1">IFERROR(MAX.SI.CONJUNTO(D:D, A:A, H3), 0)</f>
        <v>0</v>
      </c>
      <c r="O3">
        <f t="shared" ref="O3:O10" si="2">IFERROR(_xlfn.STDEV.S(IF(A$2:A$3000=H3, C$2:C$3000)), 0)</f>
        <v>0</v>
      </c>
      <c r="P3">
        <f t="shared" ref="P3:P10" si="3">IFERROR(_xlfn.STDEV.S(IF(A$2:A$3000=H3, D$2:D$3000)), 0)</f>
        <v>0</v>
      </c>
      <c r="Q3">
        <f t="shared" ref="Q3:Q10" si="4">IFERROR(O3/I3, 0)</f>
        <v>0</v>
      </c>
      <c r="R3">
        <f t="shared" ref="R3:R10" si="5">IFERROR(P3/J3, 0)</f>
        <v>0</v>
      </c>
      <c r="S3">
        <f t="shared" ref="S3:S10" si="6">IFERROR(AVERAGEIF(A:A, H3, E:E), 0)</f>
        <v>0</v>
      </c>
      <c r="T3">
        <f t="shared" ref="T3:T10" si="7">IFERROR(AVERAGEIF(A:A, H3, F:F), 0)</f>
        <v>0</v>
      </c>
    </row>
    <row r="4" spans="1:20">
      <c r="H4">
        <v>4096</v>
      </c>
      <c r="I4">
        <f t="shared" si="0"/>
        <v>0</v>
      </c>
      <c r="J4">
        <f t="shared" si="1"/>
        <v>0</v>
      </c>
      <c r="K4">
        <f ca="1">IFERROR(MIN.SI.CONJUNTO(C:C, A:A, H4), 0)</f>
        <v>0</v>
      </c>
      <c r="L4">
        <f ca="1">IFERROR(MAX.SI.CONJUNTO(C:C, A:A, H4), 0)</f>
        <v>0</v>
      </c>
      <c r="M4">
        <f ca="1">IFERROR(MIN.SI.CONJUNTO(D:D, A:A, H4), 0)</f>
        <v>0</v>
      </c>
      <c r="N4">
        <f ca="1">IFERROR(MAX.SI.CONJUNTO(D:D, A:A, H4), 0)</f>
        <v>0</v>
      </c>
      <c r="O4">
        <f t="shared" si="2"/>
        <v>0</v>
      </c>
      <c r="P4">
        <f t="shared" si="3"/>
        <v>0</v>
      </c>
      <c r="Q4">
        <f t="shared" si="4"/>
        <v>0</v>
      </c>
      <c r="R4">
        <f t="shared" si="5"/>
        <v>0</v>
      </c>
      <c r="S4">
        <f t="shared" si="6"/>
        <v>0</v>
      </c>
      <c r="T4">
        <f t="shared" si="7"/>
        <v>0</v>
      </c>
    </row>
    <row r="5" spans="1:20">
      <c r="H5">
        <v>8192</v>
      </c>
      <c r="I5">
        <f t="shared" si="0"/>
        <v>0</v>
      </c>
      <c r="J5">
        <f t="shared" si="1"/>
        <v>0</v>
      </c>
      <c r="K5">
        <f ca="1">IFERROR(MIN.SI.CONJUNTO(C:C, A:A, H5), 0)</f>
        <v>0</v>
      </c>
      <c r="L5">
        <f ca="1">IFERROR(MAX.SI.CONJUNTO(C:C, A:A, H5), 0)</f>
        <v>0</v>
      </c>
      <c r="M5">
        <f ca="1">IFERROR(MIN.SI.CONJUNTO(D:D, A:A, H5), 0)</f>
        <v>0</v>
      </c>
      <c r="N5">
        <f ca="1">IFERROR(MAX.SI.CONJUNTO(D:D, A:A, H5), 0)</f>
        <v>0</v>
      </c>
      <c r="O5">
        <f t="shared" si="2"/>
        <v>0</v>
      </c>
      <c r="P5">
        <f t="shared" si="3"/>
        <v>0</v>
      </c>
      <c r="Q5">
        <f t="shared" si="4"/>
        <v>0</v>
      </c>
      <c r="R5">
        <f t="shared" si="5"/>
        <v>0</v>
      </c>
      <c r="S5">
        <f t="shared" si="6"/>
        <v>0</v>
      </c>
      <c r="T5">
        <f t="shared" si="7"/>
        <v>0</v>
      </c>
    </row>
    <row r="6" spans="1:20">
      <c r="H6">
        <v>16384</v>
      </c>
      <c r="I6">
        <f t="shared" si="0"/>
        <v>0</v>
      </c>
      <c r="J6">
        <f t="shared" si="1"/>
        <v>0</v>
      </c>
      <c r="K6">
        <f ca="1">IFERROR(MIN.SI.CONJUNTO(C:C, A:A, H6), 0)</f>
        <v>0</v>
      </c>
      <c r="L6">
        <f ca="1">IFERROR(MAX.SI.CONJUNTO(C:C, A:A, H6), 0)</f>
        <v>0</v>
      </c>
      <c r="M6">
        <f ca="1">IFERROR(MIN.SI.CONJUNTO(D:D, A:A, H6), 0)</f>
        <v>0</v>
      </c>
      <c r="N6">
        <f ca="1">IFERROR(MAX.SI.CONJUNTO(D:D, A:A, H6), 0)</f>
        <v>0</v>
      </c>
      <c r="O6">
        <f t="shared" si="2"/>
        <v>0</v>
      </c>
      <c r="P6">
        <f t="shared" si="3"/>
        <v>0</v>
      </c>
      <c r="Q6">
        <f t="shared" si="4"/>
        <v>0</v>
      </c>
      <c r="R6">
        <f t="shared" si="5"/>
        <v>0</v>
      </c>
      <c r="S6">
        <f t="shared" si="6"/>
        <v>0</v>
      </c>
      <c r="T6">
        <f t="shared" si="7"/>
        <v>0</v>
      </c>
    </row>
    <row r="7" spans="1:20">
      <c r="H7">
        <v>32768</v>
      </c>
      <c r="I7">
        <f t="shared" si="0"/>
        <v>0</v>
      </c>
      <c r="J7">
        <f t="shared" si="1"/>
        <v>0</v>
      </c>
      <c r="K7">
        <f ca="1">IFERROR(MIN.SI.CONJUNTO(C:C, A:A, H7), 0)</f>
        <v>0</v>
      </c>
      <c r="L7">
        <f ca="1">IFERROR(MAX.SI.CONJUNTO(C:C, A:A, H7), 0)</f>
        <v>0</v>
      </c>
      <c r="M7">
        <f ca="1">IFERROR(MIN.SI.CONJUNTO(D:D, A:A, H7), 0)</f>
        <v>0</v>
      </c>
      <c r="N7">
        <f ca="1">IFERROR(MAX.SI.CONJUNTO(D:D, A:A, H7), 0)</f>
        <v>0</v>
      </c>
      <c r="O7">
        <f t="shared" si="2"/>
        <v>0</v>
      </c>
      <c r="P7">
        <f t="shared" si="3"/>
        <v>0</v>
      </c>
      <c r="Q7">
        <f t="shared" si="4"/>
        <v>0</v>
      </c>
      <c r="R7">
        <f t="shared" si="5"/>
        <v>0</v>
      </c>
      <c r="S7">
        <f t="shared" si="6"/>
        <v>0</v>
      </c>
      <c r="T7">
        <f t="shared" si="7"/>
        <v>0</v>
      </c>
    </row>
    <row r="8" spans="1:20">
      <c r="H8">
        <v>65536</v>
      </c>
      <c r="I8">
        <f t="shared" si="0"/>
        <v>0</v>
      </c>
      <c r="J8">
        <f t="shared" si="1"/>
        <v>0</v>
      </c>
      <c r="K8">
        <f ca="1">IFERROR(MIN.SI.CONJUNTO(C:C, A:A, H8), 0)</f>
        <v>0</v>
      </c>
      <c r="L8">
        <f ca="1">IFERROR(MAX.SI.CONJUNTO(C:C, A:A, H8), 0)</f>
        <v>0</v>
      </c>
      <c r="M8">
        <f ca="1">IFERROR(MIN.SI.CONJUNTO(D:D, A:A, H8), 0)</f>
        <v>0</v>
      </c>
      <c r="N8">
        <f ca="1">IFERROR(MAX.SI.CONJUNTO(D:D, A:A, H8), 0)</f>
        <v>0</v>
      </c>
      <c r="O8">
        <f t="shared" si="2"/>
        <v>0</v>
      </c>
      <c r="P8">
        <f t="shared" si="3"/>
        <v>0</v>
      </c>
      <c r="Q8">
        <f t="shared" si="4"/>
        <v>0</v>
      </c>
      <c r="R8">
        <f t="shared" si="5"/>
        <v>0</v>
      </c>
      <c r="S8">
        <f t="shared" si="6"/>
        <v>0</v>
      </c>
      <c r="T8">
        <f t="shared" si="7"/>
        <v>0</v>
      </c>
    </row>
    <row r="9" spans="1:20">
      <c r="H9">
        <v>131072</v>
      </c>
      <c r="I9">
        <f t="shared" si="0"/>
        <v>0</v>
      </c>
      <c r="J9">
        <f t="shared" si="1"/>
        <v>0</v>
      </c>
      <c r="K9">
        <f ca="1">IFERROR(MIN.SI.CONJUNTO(C:C, A:A, H9), 0)</f>
        <v>0</v>
      </c>
      <c r="L9">
        <f ca="1">IFERROR(MAX.SI.CONJUNTO(C:C, A:A, H9), 0)</f>
        <v>0</v>
      </c>
      <c r="M9">
        <f ca="1">IFERROR(MIN.SI.CONJUNTO(D:D, A:A, H9), 0)</f>
        <v>0</v>
      </c>
      <c r="N9">
        <f ca="1">IFERROR(MAX.SI.CONJUNTO(D:D, A:A, H9), 0)</f>
        <v>0</v>
      </c>
      <c r="O9">
        <f t="shared" si="2"/>
        <v>0</v>
      </c>
      <c r="P9">
        <f t="shared" si="3"/>
        <v>0</v>
      </c>
      <c r="Q9">
        <f t="shared" si="4"/>
        <v>0</v>
      </c>
      <c r="R9">
        <f t="shared" si="5"/>
        <v>0</v>
      </c>
      <c r="S9">
        <f t="shared" si="6"/>
        <v>0</v>
      </c>
      <c r="T9">
        <f t="shared" si="7"/>
        <v>0</v>
      </c>
    </row>
    <row r="10" spans="1:20">
      <c r="H10">
        <v>262144</v>
      </c>
      <c r="I10">
        <f t="shared" si="0"/>
        <v>0</v>
      </c>
      <c r="J10">
        <f t="shared" si="1"/>
        <v>0</v>
      </c>
      <c r="K10">
        <f ca="1">IFERROR(MIN.SI.CONJUNTO(C:C, A:A, H10), 0)</f>
        <v>0</v>
      </c>
      <c r="L10">
        <f ca="1">IFERROR(MAX.SI.CONJUNTO(C:C, A:A, H10), 0)</f>
        <v>0</v>
      </c>
      <c r="M10">
        <f ca="1">IFERROR(MIN.SI.CONJUNTO(D:D, A:A, H10), 0)</f>
        <v>0</v>
      </c>
      <c r="N10">
        <f ca="1">IFERROR(MAX.SI.CONJUNTO(D:D, A:A, H10), 0)</f>
        <v>0</v>
      </c>
      <c r="O10">
        <f t="shared" si="2"/>
        <v>0</v>
      </c>
      <c r="P10">
        <f t="shared" si="3"/>
        <v>0</v>
      </c>
      <c r="Q10">
        <f t="shared" si="4"/>
        <v>0</v>
      </c>
      <c r="R10">
        <f t="shared" si="5"/>
        <v>0</v>
      </c>
      <c r="S10">
        <f t="shared" si="6"/>
        <v>0</v>
      </c>
      <c r="T10">
        <f t="shared" si="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Fila</vt:lpstr>
      <vt:lpstr>Pila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2026-10-16T03:27:23Z</dcterms:created>
  <dcterms:modified xsi:type="dcterms:W3CDTF">2026-10-16T04:39:03Z</dcterms:modified>
</cp:coreProperties>
</file>