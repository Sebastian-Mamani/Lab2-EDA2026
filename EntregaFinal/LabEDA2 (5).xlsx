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la" sheetId="1" r:id="rId5"/>
    <sheet state="visible" name="Fila" sheetId="2" r:id="rId6"/>
    <sheet state="visible" name="resumen" sheetId="3" r:id="rId7"/>
  </sheets>
  <definedNames/>
  <calcPr/>
</workbook>
</file>

<file path=xl/sharedStrings.xml><?xml version="1.0" encoding="utf-8"?>
<sst xmlns="http://schemas.openxmlformats.org/spreadsheetml/2006/main" count="63" uniqueCount="18">
  <si>
    <t>n</t>
  </si>
  <si>
    <t>repeticion</t>
  </si>
  <si>
    <t>tEnlazada</t>
  </si>
  <si>
    <t>tArreglo</t>
  </si>
  <si>
    <t>redimensionamientos</t>
  </si>
  <si>
    <t>capacidadMaxima</t>
  </si>
  <si>
    <t>Minimo</t>
  </si>
  <si>
    <t>Maximo</t>
  </si>
  <si>
    <t>Promedio Enlazada</t>
  </si>
  <si>
    <t>Desviacion Estandar</t>
  </si>
  <si>
    <t>Coeficiente de Variacion</t>
  </si>
  <si>
    <t>Promedio Arreglo</t>
  </si>
  <si>
    <t>seed</t>
  </si>
  <si>
    <t>Enlazada</t>
  </si>
  <si>
    <t>Arreglo</t>
  </si>
  <si>
    <t>Cociente</t>
  </si>
  <si>
    <t>Promedio Redimensionamientos</t>
  </si>
  <si>
    <t>Capacidad maxima observada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</si>
</sst>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</dxfs>
  <tableStyles count="14">
    <tableStyle count="4" pivot="0" name="Pi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ila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Pila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Fi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l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l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resumen-style 2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resumen-style 3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resumen-style 4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resumen-style 5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resumen-style 6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resumen-style 7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resumen-style 8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Pila!$K$3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Pila!$H$16:$H$24</c:f>
            </c:strRef>
          </c:cat>
          <c:val>
            <c:numRef>
              <c:f>Pila!$K$4:$K$12</c:f>
              <c:numCache/>
            </c:numRef>
          </c:val>
          <c:smooth val="0"/>
        </c:ser>
        <c:ser>
          <c:idx val="1"/>
          <c:order val="1"/>
          <c:tx>
            <c:strRef>
              <c:f>Pila!$K$15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Pila!$H$16:$H$24</c:f>
            </c:strRef>
          </c:cat>
          <c:val>
            <c:numRef>
              <c:f>Pila!$K$16:$K$24</c:f>
              <c:numCache/>
            </c:numRef>
          </c:val>
          <c:smooth val="0"/>
        </c:ser>
        <c:axId val="35695825"/>
        <c:axId val="1788226792"/>
      </c:lineChart>
      <c:catAx>
        <c:axId val="35695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8226792"/>
      </c:catAx>
      <c:valAx>
        <c:axId val="1788226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6958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Fila!$L$3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Fila!$I$4:$I$12</c:f>
            </c:strRef>
          </c:cat>
          <c:val>
            <c:numRef>
              <c:f>Fila!$L$4:$L$12</c:f>
              <c:numCache/>
            </c:numRef>
          </c:val>
          <c:smooth val="0"/>
        </c:ser>
        <c:ser>
          <c:idx val="1"/>
          <c:order val="1"/>
          <c:tx>
            <c:strRef>
              <c:f>Fila!$L$15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Fila!$I$4:$I$12</c:f>
            </c:strRef>
          </c:cat>
          <c:val>
            <c:numRef>
              <c:f>Fila!$L$16:$L$24</c:f>
              <c:numCache/>
            </c:numRef>
          </c:val>
          <c:smooth val="0"/>
        </c:ser>
        <c:axId val="74688148"/>
        <c:axId val="320341988"/>
      </c:lineChart>
      <c:catAx>
        <c:axId val="74688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0341988"/>
      </c:catAx>
      <c:valAx>
        <c:axId val="320341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6881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Grafico Log-Log Pila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Pila!$K$3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Pila!$H$16:$H$24</c:f>
            </c:strRef>
          </c:cat>
          <c:val>
            <c:numRef>
              <c:f>Pila!$K$4:$K$12</c:f>
              <c:numCache/>
            </c:numRef>
          </c:val>
          <c:smooth val="0"/>
        </c:ser>
        <c:ser>
          <c:idx val="1"/>
          <c:order val="1"/>
          <c:tx>
            <c:strRef>
              <c:f>Pila!$K$15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Pila!$H$16:$H$24</c:f>
            </c:strRef>
          </c:cat>
          <c:val>
            <c:numRef>
              <c:f>Pila!$K$16:$K$24</c:f>
              <c:numCache/>
            </c:numRef>
          </c:val>
          <c:smooth val="0"/>
        </c:ser>
        <c:axId val="1364845017"/>
        <c:axId val="1866817000"/>
      </c:lineChart>
      <c:catAx>
        <c:axId val="1364845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817000"/>
      </c:catAx>
      <c:valAx>
        <c:axId val="1866817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48450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Grafico Log-Log Fila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Fila!$L$3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Fila!$I$4:$I$12</c:f>
            </c:strRef>
          </c:cat>
          <c:val>
            <c:numRef>
              <c:f>Fila!$L$4:$L$12</c:f>
              <c:numCache/>
            </c:numRef>
          </c:val>
          <c:smooth val="0"/>
        </c:ser>
        <c:ser>
          <c:idx val="1"/>
          <c:order val="1"/>
          <c:tx>
            <c:strRef>
              <c:f>Fila!$L$15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Fila!$I$4:$I$12</c:f>
            </c:strRef>
          </c:cat>
          <c:val>
            <c:numRef>
              <c:f>Fila!$L$16:$L$24</c:f>
              <c:numCache/>
            </c:numRef>
          </c:val>
          <c:smooth val="0"/>
        </c:ser>
        <c:axId val="539807533"/>
        <c:axId val="59229520"/>
      </c:lineChart>
      <c:catAx>
        <c:axId val="539807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29520"/>
      </c:catAx>
      <c:valAx>
        <c:axId val="59229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98075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25</xdr:row>
      <xdr:rowOff>9525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24</xdr:row>
      <xdr:rowOff>276225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46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1847850</xdr:colOff>
      <xdr:row>46</xdr:row>
      <xdr:rowOff>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71" displayName="TablaPila" name="TablaPila" id="1">
  <tableColumns count="6">
    <tableColumn name="n" id="1"/>
    <tableColumn name="repeticion" id="2"/>
    <tableColumn name="tEnlazada" id="3"/>
    <tableColumn name="tArreglo" id="4"/>
    <tableColumn name="redimensionamientos" id="5"/>
    <tableColumn name="capacidadMaxima" id="6"/>
  </tableColumns>
  <tableStyleInfo name="Pila-style" showColumnStripes="0" showFirstColumn="1" showLastColumn="1" showRowStripes="1"/>
</table>
</file>

<file path=xl/tables/table2.xml><?xml version="1.0" encoding="utf-8"?>
<table xmlns="http://schemas.openxmlformats.org/spreadsheetml/2006/main" ref="H3:M12" displayName="EstadistitcasPilaEnlazada" name="EstadistitcasPilaEnlazada" id="2">
  <tableColumns count="6">
    <tableColumn name="n" id="1"/>
    <tableColumn name="Minimo" id="2"/>
    <tableColumn name="Maximo" id="3"/>
    <tableColumn name="Promedio Enlazada" id="4"/>
    <tableColumn name="Desviacion Estandar" id="5"/>
    <tableColumn name="Coeficiente de Variacion" id="6"/>
  </tableColumns>
  <tableStyleInfo name="Pila-style 2" showColumnStripes="0" showFirstColumn="1" showLastColumn="1" showRowStripes="1"/>
</table>
</file>

<file path=xl/tables/table3.xml><?xml version="1.0" encoding="utf-8"?>
<table xmlns="http://schemas.openxmlformats.org/spreadsheetml/2006/main" ref="H15:M24" displayName="EstadisticasPilaArreglo" name="EstadisticasPilaArreglo" id="3">
  <tableColumns count="6">
    <tableColumn name="n" id="1"/>
    <tableColumn name="Minimo" id="2"/>
    <tableColumn name="Maximo" id="3"/>
    <tableColumn name="Promedio Arreglo" id="4"/>
    <tableColumn name="Desviacion Estandar" id="5"/>
    <tableColumn name="Coeficiente de Variacion" id="6"/>
  </tableColumns>
  <tableStyleInfo name="Pila-style 3" showColumnStripes="0" showFirstColumn="1" showLastColumn="1" showRowStripes="1"/>
</table>
</file>

<file path=xl/tables/table4.xml><?xml version="1.0" encoding="utf-8"?>
<table xmlns="http://schemas.openxmlformats.org/spreadsheetml/2006/main" ref="A1:G271" displayName="TablaFila" name="TablaFila" id="4">
  <tableColumns count="7">
    <tableColumn name="n" id="1"/>
    <tableColumn name="repeticion" id="2"/>
    <tableColumn name="seed" id="3"/>
    <tableColumn name="tEnlazada" id="4"/>
    <tableColumn name="tArreglo" id="5"/>
    <tableColumn name="redimensionamientos" id="6"/>
    <tableColumn name="capacidadMaxima" id="7"/>
  </tableColumns>
  <tableStyleInfo name="Fila-style" showColumnStripes="0" showFirstColumn="1" showLastColumn="1" showRowStripes="1"/>
</table>
</file>

<file path=xl/tables/table5.xml><?xml version="1.0" encoding="utf-8"?>
<table xmlns="http://schemas.openxmlformats.org/spreadsheetml/2006/main" ref="I3:N12" displayName="EstadisticasFilaEnlazada" name="EstadisticasFilaEnlazada" id="5">
  <tableColumns count="6">
    <tableColumn name="n" id="1"/>
    <tableColumn name="Minimo" id="2"/>
    <tableColumn name="Maximo" id="3"/>
    <tableColumn name="Promedio Enlazada" id="4"/>
    <tableColumn name="Desviacion Estandar" id="5"/>
    <tableColumn name="Coeficiente de Variacion" id="6"/>
  </tableColumns>
  <tableStyleInfo name="Fila-style 2" showColumnStripes="0" showFirstColumn="1" showLastColumn="1" showRowStripes="1"/>
</table>
</file>

<file path=xl/tables/table6.xml><?xml version="1.0" encoding="utf-8"?>
<table xmlns="http://schemas.openxmlformats.org/spreadsheetml/2006/main" ref="I15:N24" displayName="EstadisticasFilaArreglo" name="EstadisticasFilaArreglo" id="6">
  <tableColumns count="6">
    <tableColumn name="n" id="1"/>
    <tableColumn name="Minimo" id="2"/>
    <tableColumn name="Maximo" id="3"/>
    <tableColumn name="Promedio Arreglo" id="4"/>
    <tableColumn name="Desviacion Estandar" id="5"/>
    <tableColumn name="Coeficiente de Variacion" id="6"/>
  </tableColumns>
  <tableStyleInfo name="Fila-style 3" showColumnStripes="0" showFirstColumn="1" showLastColumn="1" showRowStripes="1"/>
</table>
</file>

<file path=xl/tables/table7.xml><?xml version="1.0" encoding="utf-8"?>
<table xmlns="http://schemas.openxmlformats.org/spreadsheetml/2006/main" ref="B2:E11" displayName="Promedios_Pila" name="Promedios_Pila" id="7">
  <tableColumns count="4">
    <tableColumn name="n" id="1"/>
    <tableColumn name="Enlazada" id="2"/>
    <tableColumn name="Arreglo" id="3"/>
    <tableColumn name="Cociente" id="4"/>
  </tableColumns>
  <tableStyleInfo name="resumen-style" showColumnStripes="0" showFirstColumn="1" showLastColumn="1" showRowStripes="1"/>
</table>
</file>

<file path=xl/tables/table8.xml><?xml version="1.0" encoding="utf-8"?>
<table xmlns="http://schemas.openxmlformats.org/spreadsheetml/2006/main" ref="G2:J11" displayName="Promedios_Fila" name="Promedios_Fila" id="8">
  <tableColumns count="4">
    <tableColumn name="n" id="1"/>
    <tableColumn name="Enlazada" id="2"/>
    <tableColumn name="Arreglo" id="3"/>
    <tableColumn name="Cociente" id="4"/>
  </tableColumns>
  <tableStyleInfo name="resumen-style 2" showColumnStripes="0" showFirstColumn="1" showLastColumn="1" showRowStripes="1"/>
</table>
</file>

<file path=xl/tables/table9.xml><?xml version="1.0" encoding="utf-8"?>
<table xmlns="http://schemas.openxmlformats.org/spreadsheetml/2006/main" ref="B14:D22" displayName="Ratio_Pila" name="Ratio_Pila" id="9">
  <tableColumns count="3">
    <tableColumn name="n" id="1"/>
    <tableColumn name="Enlazada" id="2"/>
    <tableColumn name="Arreglo" id="3"/>
  </tableColumns>
  <tableStyleInfo name="resumen-style 3" showColumnStripes="0" showFirstColumn="1" showLastColumn="1" showRowStripes="1"/>
</table>
</file>

<file path=xl/tables/table10.xml><?xml version="1.0" encoding="utf-8"?>
<table xmlns="http://schemas.openxmlformats.org/spreadsheetml/2006/main" ref="G14:I22" displayName="Ratio_de_Fila" name="Ratio_de_Fila" id="10">
  <tableColumns count="3">
    <tableColumn name="n" id="1"/>
    <tableColumn name="Enlazada" id="2"/>
    <tableColumn name="Arreglo" id="3"/>
  </tableColumns>
  <tableStyleInfo name="resumen-style 4" showColumnStripes="0" showFirstColumn="1" showLastColumn="1" showRowStripes="1"/>
</table>
</file>

<file path=xl/tables/table11.xml><?xml version="1.0" encoding="utf-8"?>
<table xmlns="http://schemas.openxmlformats.org/spreadsheetml/2006/main" ref="B25:D33" displayName="Log_de_Pila" name="Log_de_Pila" id="11">
  <tableColumns count="3">
    <tableColumn name="n" id="1"/>
    <tableColumn name="Enlazada" id="2"/>
    <tableColumn name="Arreglo" id="3"/>
  </tableColumns>
  <tableStyleInfo name="resumen-style 5" showColumnStripes="0" showFirstColumn="1" showLastColumn="1" showRowStripes="1"/>
</table>
</file>

<file path=xl/tables/table12.xml><?xml version="1.0" encoding="utf-8"?>
<table xmlns="http://schemas.openxmlformats.org/spreadsheetml/2006/main" ref="G25:I33" displayName="Log_de_Fila" name="Log_de_Fila" id="12">
  <tableColumns count="3">
    <tableColumn name="n" id="1"/>
    <tableColumn name="Enlazada" id="2"/>
    <tableColumn name="Arreglo" id="3"/>
  </tableColumns>
  <tableStyleInfo name="resumen-style 6" showColumnStripes="0" showFirstColumn="1" showLastColumn="1" showRowStripes="1"/>
</table>
</file>

<file path=xl/tables/table13.xml><?xml version="1.0" encoding="utf-8"?>
<table xmlns="http://schemas.openxmlformats.org/spreadsheetml/2006/main" ref="B36:D45" displayName="Sintesis_de_Redimensionamiento" name="Sintesis_de_Redimensionamiento" id="13">
  <tableColumns count="3">
    <tableColumn name="n" id="1"/>
    <tableColumn name="Promedio Redimensionamientos" id="2"/>
    <tableColumn name="Capacidad maxima observada" id="3"/>
  </tableColumns>
  <tableStyleInfo name="resumen-style 7" showColumnStripes="0" showFirstColumn="1" showLastColumn="1" showRowStripes="1"/>
</table>
</file>

<file path=xl/tables/table14.xml><?xml version="1.0" encoding="utf-8"?>
<table xmlns="http://schemas.openxmlformats.org/spreadsheetml/2006/main" ref="G36:I45" displayName="Sintesis_de_Redimensionamiento_Fila" name="Sintesis_de_Redimensionamiento_Fila" id="14">
  <tableColumns count="3">
    <tableColumn name="n" id="1"/>
    <tableColumn name="Promedio Redimensionamientos" id="2"/>
    <tableColumn name="Capacidad maxima observada" id="3"/>
  </tableColumns>
  <tableStyleInfo name="resumen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15" Type="http://schemas.openxmlformats.org/officeDocument/2006/relationships/table" Target="../tables/table12.xml"/><Relationship Id="rId14" Type="http://schemas.openxmlformats.org/officeDocument/2006/relationships/table" Target="../tables/table11.xml"/><Relationship Id="rId17" Type="http://schemas.openxmlformats.org/officeDocument/2006/relationships/table" Target="../tables/table14.xml"/><Relationship Id="rId16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88"/>
    <col customWidth="1" min="3" max="3" width="16.0"/>
    <col customWidth="1" min="4" max="4" width="14.63"/>
    <col customWidth="1" min="5" max="5" width="21.63"/>
    <col customWidth="1" min="6" max="6" width="19.13"/>
    <col customWidth="1" min="9" max="9" width="20.25"/>
    <col customWidth="1" min="10" max="10" width="13.5"/>
    <col customWidth="1" min="11" max="11" width="15.0"/>
    <col customWidth="1" min="12" max="12" width="20.75"/>
    <col customWidth="1" min="13" max="13" width="2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1024.0</v>
      </c>
      <c r="B2" s="2">
        <v>0.0</v>
      </c>
      <c r="C2" s="3">
        <v>0.001070135</v>
      </c>
      <c r="D2" s="3">
        <v>0.001151236</v>
      </c>
      <c r="E2" s="2">
        <v>9.0</v>
      </c>
      <c r="F2" s="2">
        <v>1024.0</v>
      </c>
    </row>
    <row r="3" ht="22.5" customHeight="1">
      <c r="A3" s="2">
        <v>1024.0</v>
      </c>
      <c r="B3" s="2">
        <v>1.0</v>
      </c>
      <c r="C3" s="3">
        <v>0.001051721</v>
      </c>
      <c r="D3" s="3">
        <v>0.001034559</v>
      </c>
      <c r="E3" s="2">
        <v>9.0</v>
      </c>
      <c r="F3" s="2">
        <v>1024.0</v>
      </c>
      <c r="H3" s="1" t="s">
        <v>0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4"/>
    </row>
    <row r="4" ht="22.5" customHeight="1">
      <c r="A4" s="2">
        <v>1024.0</v>
      </c>
      <c r="B4" s="2">
        <v>2.0</v>
      </c>
      <c r="C4" s="3">
        <v>0.001026915</v>
      </c>
      <c r="D4" s="3">
        <v>0.001060638</v>
      </c>
      <c r="E4" s="2">
        <v>9.0</v>
      </c>
      <c r="F4" s="2">
        <v>1024.0</v>
      </c>
      <c r="H4" s="2">
        <v>1024.0</v>
      </c>
      <c r="I4" s="5">
        <f>min(C2:C31)</f>
        <v>0.000337749</v>
      </c>
      <c r="J4" s="5">
        <f>max(C2:C31)</f>
        <v>0.001245545</v>
      </c>
      <c r="K4" s="5">
        <f>AVERAGE(C2:C31)</f>
        <v>0.0006676881333</v>
      </c>
      <c r="L4" s="6">
        <f>STDEV(C2:C31)</f>
        <v>0.0002910906542</v>
      </c>
      <c r="M4" s="6">
        <f t="shared" ref="M4:M12" si="1">L4/K4</f>
        <v>0.4359679911</v>
      </c>
    </row>
    <row r="5" ht="22.5" customHeight="1">
      <c r="A5" s="2">
        <v>1024.0</v>
      </c>
      <c r="B5" s="2">
        <v>3.0</v>
      </c>
      <c r="C5" s="3">
        <v>8.72136E-4</v>
      </c>
      <c r="D5" s="3">
        <v>0.001095683</v>
      </c>
      <c r="E5" s="2">
        <v>9.0</v>
      </c>
      <c r="F5" s="2">
        <v>1024.0</v>
      </c>
      <c r="H5" s="2">
        <v>2048.0</v>
      </c>
      <c r="I5" s="5">
        <f>min(C32:C61)</f>
        <v>0.000454387</v>
      </c>
      <c r="J5" s="5">
        <f>max(C32,C61)</f>
        <v>0.000680007</v>
      </c>
      <c r="K5" s="5">
        <f>AVERAGE(C32,C61)</f>
        <v>0.000640719</v>
      </c>
      <c r="L5" s="6">
        <f>STDEV(C32,C61)</f>
        <v>0.00005556162244</v>
      </c>
      <c r="M5" s="6">
        <f t="shared" si="1"/>
        <v>0.08671761324</v>
      </c>
    </row>
    <row r="6" ht="22.5" customHeight="1">
      <c r="A6" s="2">
        <v>1024.0</v>
      </c>
      <c r="B6" s="2">
        <v>4.0</v>
      </c>
      <c r="C6" s="3">
        <v>0.001021013</v>
      </c>
      <c r="D6" s="3">
        <v>9.68576E-4</v>
      </c>
      <c r="E6" s="2">
        <v>9.0</v>
      </c>
      <c r="F6" s="2">
        <v>1024.0</v>
      </c>
      <c r="H6" s="2">
        <v>4096.0</v>
      </c>
      <c r="I6" s="5">
        <f>min(C62:C91)</f>
        <v>0.000517003</v>
      </c>
      <c r="J6" s="5">
        <f>MAX(D62:D91)</f>
        <v>0.002127877</v>
      </c>
      <c r="K6" s="5">
        <f>AVERAGE(D62:D91)</f>
        <v>0.0010981774</v>
      </c>
      <c r="L6" s="6">
        <f>STDEV(D62:D91)</f>
        <v>0.000654978816</v>
      </c>
      <c r="M6" s="6">
        <f t="shared" si="1"/>
        <v>0.5964235068</v>
      </c>
    </row>
    <row r="7" ht="22.5" customHeight="1">
      <c r="A7" s="2">
        <v>1024.0</v>
      </c>
      <c r="B7" s="2">
        <v>5.0</v>
      </c>
      <c r="C7" s="3">
        <v>9.6034E-4</v>
      </c>
      <c r="D7" s="3">
        <v>9.94744E-4</v>
      </c>
      <c r="E7" s="2">
        <v>9.0</v>
      </c>
      <c r="F7" s="2">
        <v>1024.0</v>
      </c>
      <c r="H7" s="2">
        <v>8192.0</v>
      </c>
      <c r="I7" s="5">
        <f>min(C92:C121)</f>
        <v>0.000210112</v>
      </c>
      <c r="J7" s="5">
        <f>max(C92:C121)</f>
        <v>0.00107341</v>
      </c>
      <c r="K7" s="5">
        <f>AVERAGE(C92:C121)</f>
        <v>0.0006147074</v>
      </c>
      <c r="L7" s="6">
        <f>STDEV(C92:C121)</f>
        <v>0.0003129383004</v>
      </c>
      <c r="M7" s="6">
        <f t="shared" si="1"/>
        <v>0.5090849735</v>
      </c>
    </row>
    <row r="8" ht="22.5" customHeight="1">
      <c r="A8" s="2">
        <v>1024.0</v>
      </c>
      <c r="B8" s="2">
        <v>6.0</v>
      </c>
      <c r="C8" s="3">
        <v>0.001245545</v>
      </c>
      <c r="D8" s="3">
        <v>9.81399E-4</v>
      </c>
      <c r="E8" s="2">
        <v>9.0</v>
      </c>
      <c r="F8" s="2">
        <v>1024.0</v>
      </c>
      <c r="H8" s="2">
        <v>16384.0</v>
      </c>
      <c r="I8" s="5">
        <f>min(C122:C151)</f>
        <v>0.000401148</v>
      </c>
      <c r="J8" s="5">
        <f>max(C122:C151)</f>
        <v>0.001167867</v>
      </c>
      <c r="K8" s="5">
        <f>AVERAGE(C122:C151)</f>
        <v>0.0006249673333</v>
      </c>
      <c r="L8" s="6">
        <f>STDEV(C122:C151)</f>
        <v>0.000275870146</v>
      </c>
      <c r="M8" s="6">
        <f t="shared" si="1"/>
        <v>0.4414153049</v>
      </c>
    </row>
    <row r="9" ht="22.5" customHeight="1">
      <c r="A9" s="2">
        <v>1024.0</v>
      </c>
      <c r="B9" s="2">
        <v>7.0</v>
      </c>
      <c r="C9" s="3">
        <v>9.08774E-4</v>
      </c>
      <c r="D9" s="3">
        <v>8.56138E-4</v>
      </c>
      <c r="E9" s="2">
        <v>9.0</v>
      </c>
      <c r="F9" s="2">
        <v>1024.0</v>
      </c>
      <c r="H9" s="2">
        <v>32768.0</v>
      </c>
      <c r="I9" s="5">
        <f>min(C152:C181)</f>
        <v>0.000795503</v>
      </c>
      <c r="J9" s="5">
        <f>max(C152:C181)</f>
        <v>0.002674666</v>
      </c>
      <c r="K9" s="5">
        <f>AVERAGE(C152:C181)</f>
        <v>0.001344878967</v>
      </c>
      <c r="L9" s="6">
        <f>STDEV(C152:C181)</f>
        <v>0.000675748494</v>
      </c>
      <c r="M9" s="6">
        <f t="shared" si="1"/>
        <v>0.5024604524</v>
      </c>
    </row>
    <row r="10" ht="22.5" customHeight="1">
      <c r="A10" s="2">
        <v>1024.0</v>
      </c>
      <c r="B10" s="2">
        <v>8.0</v>
      </c>
      <c r="C10" s="3">
        <v>9.00349E-4</v>
      </c>
      <c r="D10" s="3">
        <v>8.92696E-4</v>
      </c>
      <c r="E10" s="2">
        <v>9.0</v>
      </c>
      <c r="F10" s="2">
        <v>1024.0</v>
      </c>
      <c r="H10" s="2">
        <v>65536.0</v>
      </c>
      <c r="I10" s="5">
        <f>min(C182:C211)</f>
        <v>0.001596075</v>
      </c>
      <c r="J10" s="5">
        <f>max(C182:C211)</f>
        <v>0.004572945</v>
      </c>
      <c r="K10" s="5">
        <f>AVERAGE(C182:C211)</f>
        <v>0.001960907967</v>
      </c>
      <c r="L10" s="6">
        <f>STDEV(C182:C211)</f>
        <v>0.0007709007111</v>
      </c>
      <c r="M10" s="6">
        <f t="shared" si="1"/>
        <v>0.3931345704</v>
      </c>
    </row>
    <row r="11" ht="22.5" customHeight="1">
      <c r="A11" s="2">
        <v>1024.0</v>
      </c>
      <c r="B11" s="2">
        <v>9.0</v>
      </c>
      <c r="C11" s="3">
        <v>7.79853E-4</v>
      </c>
      <c r="D11" s="3">
        <v>9.48178E-4</v>
      </c>
      <c r="E11" s="2">
        <v>9.0</v>
      </c>
      <c r="F11" s="2">
        <v>1024.0</v>
      </c>
      <c r="H11" s="2">
        <v>131072.0</v>
      </c>
      <c r="I11" s="5">
        <f>min(C212:C241)</f>
        <v>0.003189245</v>
      </c>
      <c r="J11" s="5">
        <f>max(C212:C241)</f>
        <v>0.014427673</v>
      </c>
      <c r="K11" s="5">
        <f>AVERAGE(C212:C241)</f>
        <v>0.006446628933</v>
      </c>
      <c r="L11" s="6">
        <f>STDEV(C212:C241)</f>
        <v>0.003799109143</v>
      </c>
      <c r="M11" s="6">
        <f t="shared" si="1"/>
        <v>0.5893171737</v>
      </c>
    </row>
    <row r="12" ht="22.5" customHeight="1">
      <c r="A12" s="2">
        <v>1024.0</v>
      </c>
      <c r="B12" s="2">
        <v>10.0</v>
      </c>
      <c r="C12" s="3">
        <v>8.76794E-4</v>
      </c>
      <c r="D12" s="3">
        <v>8.93996E-4</v>
      </c>
      <c r="E12" s="2">
        <v>9.0</v>
      </c>
      <c r="F12" s="2">
        <v>1024.0</v>
      </c>
      <c r="H12" s="2">
        <v>262144.0</v>
      </c>
      <c r="I12" s="5">
        <f>min(C242:C271)</f>
        <v>0.006670324</v>
      </c>
      <c r="J12" s="5">
        <f>max(C242:C271)</f>
        <v>0.029146972</v>
      </c>
      <c r="K12" s="5">
        <f>AVERAGE(C242:C271)</f>
        <v>0.01388806723</v>
      </c>
      <c r="L12" s="6">
        <f>STDEV(C242:C271)</f>
        <v>0.008587098943</v>
      </c>
      <c r="M12" s="6">
        <f t="shared" si="1"/>
        <v>0.6183077025</v>
      </c>
    </row>
    <row r="13" ht="22.5" customHeight="1">
      <c r="A13" s="2">
        <v>1024.0</v>
      </c>
      <c r="B13" s="2">
        <v>11.0</v>
      </c>
      <c r="C13" s="3">
        <v>8.56626E-4</v>
      </c>
      <c r="D13" s="3">
        <v>8.57228E-4</v>
      </c>
      <c r="E13" s="2">
        <v>9.0</v>
      </c>
      <c r="F13" s="2">
        <v>1024.0</v>
      </c>
    </row>
    <row r="14" ht="22.5" customHeight="1">
      <c r="A14" s="2">
        <v>1024.0</v>
      </c>
      <c r="B14" s="2">
        <v>12.0</v>
      </c>
      <c r="C14" s="3">
        <v>9.37648E-4</v>
      </c>
      <c r="D14" s="3">
        <v>8.65435E-4</v>
      </c>
      <c r="E14" s="2">
        <v>9.0</v>
      </c>
      <c r="F14" s="2">
        <v>1024.0</v>
      </c>
    </row>
    <row r="15" ht="22.5" customHeight="1">
      <c r="A15" s="2">
        <v>1024.0</v>
      </c>
      <c r="B15" s="2">
        <v>13.0</v>
      </c>
      <c r="C15" s="3">
        <v>7.84144E-4</v>
      </c>
      <c r="D15" s="3">
        <v>8.47169E-4</v>
      </c>
      <c r="E15" s="2">
        <v>9.0</v>
      </c>
      <c r="F15" s="2">
        <v>1024.0</v>
      </c>
      <c r="H15" s="1" t="s">
        <v>0</v>
      </c>
      <c r="I15" s="1" t="s">
        <v>6</v>
      </c>
      <c r="J15" s="1" t="s">
        <v>7</v>
      </c>
      <c r="K15" s="1" t="s">
        <v>11</v>
      </c>
      <c r="L15" s="1" t="s">
        <v>9</v>
      </c>
      <c r="M15" s="1" t="s">
        <v>10</v>
      </c>
    </row>
    <row r="16" ht="22.5" customHeight="1">
      <c r="A16" s="2">
        <v>1024.0</v>
      </c>
      <c r="B16" s="2">
        <v>14.0</v>
      </c>
      <c r="C16" s="3">
        <v>7.56631E-4</v>
      </c>
      <c r="D16" s="3">
        <v>5.33114E-4</v>
      </c>
      <c r="E16" s="2">
        <v>9.0</v>
      </c>
      <c r="F16" s="2">
        <v>1024.0</v>
      </c>
      <c r="H16" s="2">
        <v>1024.0</v>
      </c>
      <c r="I16" s="5">
        <f>min(D2:D31)</f>
        <v>0.000345283</v>
      </c>
      <c r="J16" s="5">
        <f>max(D2:D31)</f>
        <v>0.001151236</v>
      </c>
      <c r="K16" s="5">
        <f>AVERAGE(D2:D31)</f>
        <v>0.0006533764667</v>
      </c>
      <c r="L16" s="6">
        <f>STDEV(D2:D31)</f>
        <v>0.0003010816883</v>
      </c>
      <c r="M16" s="6">
        <f t="shared" ref="M16:M24" si="2">L16/K16</f>
        <v>0.460808896</v>
      </c>
    </row>
    <row r="17" ht="22.5" customHeight="1">
      <c r="A17" s="2">
        <v>1024.0</v>
      </c>
      <c r="B17" s="2">
        <v>15.0</v>
      </c>
      <c r="C17" s="3">
        <v>4.33037E-4</v>
      </c>
      <c r="D17" s="3">
        <v>3.45283E-4</v>
      </c>
      <c r="E17" s="2">
        <v>9.0</v>
      </c>
      <c r="F17" s="2">
        <v>1024.0</v>
      </c>
      <c r="H17" s="2">
        <v>2048.0</v>
      </c>
      <c r="I17" s="5">
        <f>min(D32:D61)</f>
        <v>0.000290131</v>
      </c>
      <c r="J17" s="5">
        <f>max(D32:D61)</f>
        <v>0.000789172</v>
      </c>
      <c r="K17" s="5">
        <f>AVERAGE(D32:D61)</f>
        <v>0.0005903546</v>
      </c>
      <c r="L17" s="6">
        <f>STDEV(D32:D61)</f>
        <v>0.0001172886534</v>
      </c>
      <c r="M17" s="6">
        <f t="shared" si="2"/>
        <v>0.1986749209</v>
      </c>
    </row>
    <row r="18" ht="22.5" customHeight="1">
      <c r="A18" s="2">
        <v>1024.0</v>
      </c>
      <c r="B18" s="2">
        <v>16.0</v>
      </c>
      <c r="C18" s="3">
        <v>4.00737E-4</v>
      </c>
      <c r="D18" s="3">
        <v>3.89997E-4</v>
      </c>
      <c r="E18" s="2">
        <v>9.0</v>
      </c>
      <c r="F18" s="2">
        <v>1024.0</v>
      </c>
      <c r="H18" s="2">
        <v>4096.0</v>
      </c>
      <c r="I18" s="5">
        <f>min(D62:D91)</f>
        <v>0.000483411</v>
      </c>
      <c r="J18" s="5">
        <f>max(D62:D91)</f>
        <v>0.002127877</v>
      </c>
      <c r="K18" s="5">
        <f>AVERAGE(D62:D91)</f>
        <v>0.0010981774</v>
      </c>
      <c r="L18" s="6">
        <f>STDEV(D62:D91)</f>
        <v>0.000654978816</v>
      </c>
      <c r="M18" s="6">
        <f t="shared" si="2"/>
        <v>0.5964235068</v>
      </c>
    </row>
    <row r="19" ht="22.5" customHeight="1">
      <c r="A19" s="2">
        <v>1024.0</v>
      </c>
      <c r="B19" s="2">
        <v>17.0</v>
      </c>
      <c r="C19" s="3">
        <v>4.03092E-4</v>
      </c>
      <c r="D19" s="3">
        <v>3.84606E-4</v>
      </c>
      <c r="E19" s="2">
        <v>9.0</v>
      </c>
      <c r="F19" s="2">
        <v>1024.0</v>
      </c>
      <c r="H19" s="2">
        <v>8192.0</v>
      </c>
      <c r="I19" s="5">
        <f>min(D92:D121)</f>
        <v>0.000227644</v>
      </c>
      <c r="J19" s="5">
        <f>max(D92:D121)</f>
        <v>0.001039176</v>
      </c>
      <c r="K19" s="5">
        <f>AVERAGE(D92:D121)</f>
        <v>0.0005819556</v>
      </c>
      <c r="L19" s="6">
        <f>STDEV(D92:D121)</f>
        <v>0.0003159131634</v>
      </c>
      <c r="M19" s="6">
        <f t="shared" si="2"/>
        <v>0.5428475358</v>
      </c>
    </row>
    <row r="20" ht="22.5" customHeight="1">
      <c r="A20" s="2">
        <v>1024.0</v>
      </c>
      <c r="B20" s="2">
        <v>18.0</v>
      </c>
      <c r="C20" s="3">
        <v>3.90638E-4</v>
      </c>
      <c r="D20" s="3">
        <v>4.0253E-4</v>
      </c>
      <c r="E20" s="2">
        <v>9.0</v>
      </c>
      <c r="F20" s="2">
        <v>1024.0</v>
      </c>
      <c r="H20" s="2">
        <v>16384.0</v>
      </c>
      <c r="I20" s="5">
        <f>min(D122:D151)</f>
        <v>0.000423439</v>
      </c>
      <c r="J20" s="5">
        <f>max(D122:D151)</f>
        <v>0.001055628</v>
      </c>
      <c r="K20" s="5">
        <f>AVERAGE(D122:D151)</f>
        <v>0.0006363367</v>
      </c>
      <c r="L20" s="6">
        <f>STDEV(D122:D151)</f>
        <v>0.0002317507808</v>
      </c>
      <c r="M20" s="6">
        <f t="shared" si="2"/>
        <v>0.3641952143</v>
      </c>
    </row>
    <row r="21" ht="22.5" customHeight="1">
      <c r="A21" s="2">
        <v>1024.0</v>
      </c>
      <c r="B21" s="2">
        <v>19.0</v>
      </c>
      <c r="C21" s="3">
        <v>4.15355E-4</v>
      </c>
      <c r="D21" s="3">
        <v>3.90809E-4</v>
      </c>
      <c r="E21" s="2">
        <v>9.0</v>
      </c>
      <c r="F21" s="2">
        <v>1024.0</v>
      </c>
      <c r="H21" s="2">
        <v>32768.0</v>
      </c>
      <c r="I21" s="5">
        <f>min(D152:D181)</f>
        <v>0.000848922</v>
      </c>
      <c r="J21" s="5">
        <f>max(D152:D181)</f>
        <v>0.00211368</v>
      </c>
      <c r="K21" s="5">
        <f>AVERAGE(D152:D181)</f>
        <v>0.0012778936</v>
      </c>
      <c r="L21" s="6">
        <f>STDEV(D152:D181)</f>
        <v>0.0004976034643</v>
      </c>
      <c r="M21" s="6">
        <f t="shared" si="2"/>
        <v>0.3893935021</v>
      </c>
    </row>
    <row r="22" ht="22.5" customHeight="1">
      <c r="A22" s="2">
        <v>1024.0</v>
      </c>
      <c r="B22" s="2">
        <v>20.0</v>
      </c>
      <c r="C22" s="3">
        <v>3.73025E-4</v>
      </c>
      <c r="D22" s="3">
        <v>3.93634E-4</v>
      </c>
      <c r="E22" s="2">
        <v>9.0</v>
      </c>
      <c r="F22" s="2">
        <v>1024.0</v>
      </c>
      <c r="H22" s="2">
        <v>65536.0</v>
      </c>
      <c r="I22" s="5">
        <f>min(D182:D211)</f>
        <v>0.001653592</v>
      </c>
      <c r="J22" s="5">
        <f>max(D182:D211)</f>
        <v>0.004070668</v>
      </c>
      <c r="K22" s="5">
        <f>AVERAGE(D182:D211)</f>
        <v>0.001940832233</v>
      </c>
      <c r="L22" s="6">
        <f>STDEV(D182:D211)</f>
        <v>0.0006013644773</v>
      </c>
      <c r="M22" s="6">
        <f t="shared" si="2"/>
        <v>0.3098487684</v>
      </c>
    </row>
    <row r="23" ht="22.5" customHeight="1">
      <c r="A23" s="2">
        <v>1024.0</v>
      </c>
      <c r="B23" s="2">
        <v>21.0</v>
      </c>
      <c r="C23" s="3">
        <v>4.45019E-4</v>
      </c>
      <c r="D23" s="3">
        <v>3.73546E-4</v>
      </c>
      <c r="E23" s="2">
        <v>9.0</v>
      </c>
      <c r="F23" s="2">
        <v>1024.0</v>
      </c>
      <c r="H23" s="2">
        <v>131072.0</v>
      </c>
      <c r="I23" s="5">
        <f>min(D212:D241)</f>
        <v>0.003783603</v>
      </c>
      <c r="J23" s="5">
        <f>max(D212:D241)</f>
        <v>0.012372903</v>
      </c>
      <c r="K23" s="5">
        <f>AVERAGE(D212:D241)</f>
        <v>0.0065224851</v>
      </c>
      <c r="L23" s="6">
        <f>STDEV(D212:D241)</f>
        <v>0.00312243894</v>
      </c>
      <c r="M23" s="6">
        <f t="shared" si="2"/>
        <v>0.4787192139</v>
      </c>
    </row>
    <row r="24" ht="22.5" customHeight="1">
      <c r="A24" s="2">
        <v>1024.0</v>
      </c>
      <c r="B24" s="2">
        <v>22.0</v>
      </c>
      <c r="C24" s="3">
        <v>3.37749E-4</v>
      </c>
      <c r="D24" s="3">
        <v>3.75791E-4</v>
      </c>
      <c r="E24" s="2">
        <v>9.0</v>
      </c>
      <c r="F24" s="2">
        <v>1024.0</v>
      </c>
      <c r="H24" s="2">
        <v>262144.0</v>
      </c>
      <c r="I24" s="5">
        <f>min(D241:D271)</f>
        <v>0.003903677</v>
      </c>
      <c r="J24" s="5">
        <f>max(D242:D271)</f>
        <v>0.023013453</v>
      </c>
      <c r="K24" s="5">
        <f>AVERAGE(D242:D271)</f>
        <v>0.01185636873</v>
      </c>
      <c r="L24" s="6">
        <f>STDEV(D242:D271)</f>
        <v>0.005409370002</v>
      </c>
      <c r="M24" s="6">
        <f t="shared" si="2"/>
        <v>0.4562417148</v>
      </c>
    </row>
    <row r="25" ht="22.5" customHeight="1">
      <c r="A25" s="2">
        <v>1024.0</v>
      </c>
      <c r="B25" s="2">
        <v>23.0</v>
      </c>
      <c r="C25" s="3">
        <v>3.51054E-4</v>
      </c>
      <c r="D25" s="3">
        <v>3.51645E-4</v>
      </c>
      <c r="E25" s="2">
        <v>9.0</v>
      </c>
      <c r="F25" s="2">
        <v>1024.0</v>
      </c>
    </row>
    <row r="26" ht="22.5" customHeight="1">
      <c r="A26" s="2">
        <v>1024.0</v>
      </c>
      <c r="B26" s="2">
        <v>24.0</v>
      </c>
      <c r="C26" s="3">
        <v>3.66714E-4</v>
      </c>
      <c r="D26" s="3">
        <v>3.7021E-4</v>
      </c>
      <c r="E26" s="2">
        <v>9.0</v>
      </c>
      <c r="F26" s="2">
        <v>1024.0</v>
      </c>
    </row>
    <row r="27" ht="22.5" customHeight="1">
      <c r="A27" s="2">
        <v>1024.0</v>
      </c>
      <c r="B27" s="2">
        <v>25.0</v>
      </c>
      <c r="C27" s="3">
        <v>3.62826E-4</v>
      </c>
      <c r="D27" s="3">
        <v>3.89025E-4</v>
      </c>
      <c r="E27" s="2">
        <v>9.0</v>
      </c>
      <c r="F27" s="2">
        <v>1024.0</v>
      </c>
    </row>
    <row r="28" ht="22.5" customHeight="1">
      <c r="A28" s="2">
        <v>1024.0</v>
      </c>
      <c r="B28" s="2">
        <v>26.0</v>
      </c>
      <c r="C28" s="3">
        <v>3.72454E-4</v>
      </c>
      <c r="D28" s="3">
        <v>3.68988E-4</v>
      </c>
      <c r="E28" s="2">
        <v>9.0</v>
      </c>
      <c r="F28" s="2">
        <v>1024.0</v>
      </c>
    </row>
    <row r="29" ht="22.5" customHeight="1">
      <c r="A29" s="2">
        <v>1024.0</v>
      </c>
      <c r="B29" s="2">
        <v>27.0</v>
      </c>
      <c r="C29" s="3">
        <v>5.81524E-4</v>
      </c>
      <c r="D29" s="3">
        <v>3.51355E-4</v>
      </c>
      <c r="E29" s="2">
        <v>9.0</v>
      </c>
      <c r="F29" s="2">
        <v>1024.0</v>
      </c>
    </row>
    <row r="30" ht="22.5" customHeight="1">
      <c r="A30" s="2">
        <v>1024.0</v>
      </c>
      <c r="B30" s="2">
        <v>28.0</v>
      </c>
      <c r="C30" s="3">
        <v>3.46646E-4</v>
      </c>
      <c r="D30" s="3">
        <v>3.69008E-4</v>
      </c>
      <c r="E30" s="2">
        <v>9.0</v>
      </c>
      <c r="F30" s="2">
        <v>1024.0</v>
      </c>
    </row>
    <row r="31" ht="22.5" customHeight="1">
      <c r="A31" s="2">
        <v>1024.0</v>
      </c>
      <c r="B31" s="2">
        <v>29.0</v>
      </c>
      <c r="C31" s="3">
        <v>4.0215E-4</v>
      </c>
      <c r="D31" s="3">
        <v>3.64078E-4</v>
      </c>
      <c r="E31" s="2">
        <v>9.0</v>
      </c>
      <c r="F31" s="2">
        <v>1024.0</v>
      </c>
    </row>
    <row r="32" ht="22.5" customHeight="1">
      <c r="A32" s="2">
        <v>2048.0</v>
      </c>
      <c r="B32" s="2">
        <v>0.0</v>
      </c>
      <c r="C32" s="3">
        <v>6.80007E-4</v>
      </c>
      <c r="D32" s="3">
        <v>7.24922E-4</v>
      </c>
      <c r="E32" s="2">
        <v>10.0</v>
      </c>
      <c r="F32" s="2">
        <v>2048.0</v>
      </c>
    </row>
    <row r="33" ht="22.5" customHeight="1">
      <c r="A33" s="2">
        <v>2048.0</v>
      </c>
      <c r="B33" s="2">
        <v>1.0</v>
      </c>
      <c r="C33" s="3">
        <v>7.62131E-4</v>
      </c>
      <c r="D33" s="3">
        <v>7.49277E-4</v>
      </c>
      <c r="E33" s="2">
        <v>10.0</v>
      </c>
      <c r="F33" s="2">
        <v>2048.0</v>
      </c>
    </row>
    <row r="34" ht="22.5" customHeight="1">
      <c r="A34" s="2">
        <v>2048.0</v>
      </c>
      <c r="B34" s="2">
        <v>2.0</v>
      </c>
      <c r="C34" s="3">
        <v>7.11556E-4</v>
      </c>
      <c r="D34" s="3">
        <v>7.33127E-4</v>
      </c>
      <c r="E34" s="2">
        <v>10.0</v>
      </c>
      <c r="F34" s="2">
        <v>2048.0</v>
      </c>
    </row>
    <row r="35" ht="22.5" customHeight="1">
      <c r="A35" s="2">
        <v>2048.0</v>
      </c>
      <c r="B35" s="2">
        <v>3.0</v>
      </c>
      <c r="C35" s="3">
        <v>7.39429E-4</v>
      </c>
      <c r="D35" s="3">
        <v>7.2988E-4</v>
      </c>
      <c r="E35" s="2">
        <v>10.0</v>
      </c>
      <c r="F35" s="2">
        <v>2048.0</v>
      </c>
    </row>
    <row r="36" ht="22.5" customHeight="1">
      <c r="A36" s="2">
        <v>2048.0</v>
      </c>
      <c r="B36" s="2">
        <v>4.0</v>
      </c>
      <c r="C36" s="3">
        <v>7.4526E-4</v>
      </c>
      <c r="D36" s="3">
        <v>7.7742E-4</v>
      </c>
      <c r="E36" s="2">
        <v>10.0</v>
      </c>
      <c r="F36" s="2">
        <v>2048.0</v>
      </c>
    </row>
    <row r="37" ht="22.5" customHeight="1">
      <c r="A37" s="2">
        <v>2048.0</v>
      </c>
      <c r="B37" s="2">
        <v>5.0</v>
      </c>
      <c r="C37" s="3">
        <v>7.44588E-4</v>
      </c>
      <c r="D37" s="3">
        <v>7.89172E-4</v>
      </c>
      <c r="E37" s="2">
        <v>10.0</v>
      </c>
      <c r="F37" s="2">
        <v>2048.0</v>
      </c>
    </row>
    <row r="38" ht="22.5" customHeight="1">
      <c r="A38" s="2">
        <v>2048.0</v>
      </c>
      <c r="B38" s="2">
        <v>6.0</v>
      </c>
      <c r="C38" s="3">
        <v>7.35513E-4</v>
      </c>
      <c r="D38" s="3">
        <v>7.12439E-4</v>
      </c>
      <c r="E38" s="2">
        <v>10.0</v>
      </c>
      <c r="F38" s="2">
        <v>2048.0</v>
      </c>
    </row>
    <row r="39" ht="22.5" customHeight="1">
      <c r="A39" s="2">
        <v>2048.0</v>
      </c>
      <c r="B39" s="2">
        <v>7.0</v>
      </c>
      <c r="C39" s="3">
        <v>7.01518E-4</v>
      </c>
      <c r="D39" s="3">
        <v>6.78635E-4</v>
      </c>
      <c r="E39" s="2">
        <v>10.0</v>
      </c>
      <c r="F39" s="2">
        <v>2048.0</v>
      </c>
    </row>
    <row r="40" ht="22.5" customHeight="1">
      <c r="A40" s="2">
        <v>2048.0</v>
      </c>
      <c r="B40" s="2">
        <v>8.0</v>
      </c>
      <c r="C40" s="3">
        <v>5.06613E-4</v>
      </c>
      <c r="D40" s="3">
        <v>2.90131E-4</v>
      </c>
      <c r="E40" s="2">
        <v>10.0</v>
      </c>
      <c r="F40" s="2">
        <v>2048.0</v>
      </c>
    </row>
    <row r="41" ht="22.5" customHeight="1">
      <c r="A41" s="2">
        <v>2048.0</v>
      </c>
      <c r="B41" s="2">
        <v>9.0</v>
      </c>
      <c r="C41" s="3">
        <v>5.08227E-4</v>
      </c>
      <c r="D41" s="3">
        <v>6.74748E-4</v>
      </c>
      <c r="E41" s="2">
        <v>10.0</v>
      </c>
      <c r="F41" s="2">
        <v>2048.0</v>
      </c>
    </row>
    <row r="42" ht="22.5" customHeight="1">
      <c r="A42" s="2">
        <v>2048.0</v>
      </c>
      <c r="B42" s="2">
        <v>10.0</v>
      </c>
      <c r="C42" s="3">
        <v>4.74755E-4</v>
      </c>
      <c r="D42" s="3">
        <v>5.82365E-4</v>
      </c>
      <c r="E42" s="2">
        <v>10.0</v>
      </c>
      <c r="F42" s="2">
        <v>2048.0</v>
      </c>
    </row>
    <row r="43" ht="22.5" customHeight="1">
      <c r="A43" s="2">
        <v>2048.0</v>
      </c>
      <c r="B43" s="2">
        <v>11.0</v>
      </c>
      <c r="C43" s="3">
        <v>4.74734E-4</v>
      </c>
      <c r="D43" s="3">
        <v>5.32964E-4</v>
      </c>
      <c r="E43" s="2">
        <v>10.0</v>
      </c>
      <c r="F43" s="2">
        <v>2048.0</v>
      </c>
    </row>
    <row r="44" ht="22.5" customHeight="1">
      <c r="A44" s="2">
        <v>2048.0</v>
      </c>
      <c r="B44" s="2">
        <v>12.0</v>
      </c>
      <c r="C44" s="3">
        <v>5.2524E-4</v>
      </c>
      <c r="D44" s="3">
        <v>5.15531E-4</v>
      </c>
      <c r="E44" s="2">
        <v>10.0</v>
      </c>
      <c r="F44" s="2">
        <v>2048.0</v>
      </c>
    </row>
    <row r="45" ht="22.5" customHeight="1">
      <c r="A45" s="2">
        <v>2048.0</v>
      </c>
      <c r="B45" s="2">
        <v>13.0</v>
      </c>
      <c r="C45" s="3">
        <v>4.97738E-4</v>
      </c>
      <c r="D45" s="3">
        <v>5.45497E-4</v>
      </c>
      <c r="E45" s="2">
        <v>10.0</v>
      </c>
      <c r="F45" s="2">
        <v>2048.0</v>
      </c>
    </row>
    <row r="46" ht="22.5" customHeight="1">
      <c r="A46" s="2">
        <v>2048.0</v>
      </c>
      <c r="B46" s="2">
        <v>14.0</v>
      </c>
      <c r="C46" s="3">
        <v>4.97377E-4</v>
      </c>
      <c r="D46" s="3">
        <v>5.04551E-4</v>
      </c>
      <c r="E46" s="2">
        <v>10.0</v>
      </c>
      <c r="F46" s="2">
        <v>2048.0</v>
      </c>
    </row>
    <row r="47" ht="22.5" customHeight="1">
      <c r="A47" s="2">
        <v>2048.0</v>
      </c>
      <c r="B47" s="2">
        <v>15.0</v>
      </c>
      <c r="C47" s="3">
        <v>4.54387E-4</v>
      </c>
      <c r="D47" s="3">
        <v>5.40536E-4</v>
      </c>
      <c r="E47" s="2">
        <v>10.0</v>
      </c>
      <c r="F47" s="2">
        <v>2048.0</v>
      </c>
    </row>
    <row r="48" ht="22.5" customHeight="1">
      <c r="A48" s="2">
        <v>2048.0</v>
      </c>
      <c r="B48" s="2">
        <v>16.0</v>
      </c>
      <c r="C48" s="3">
        <v>4.85305E-4</v>
      </c>
      <c r="D48" s="3">
        <v>5.02257E-4</v>
      </c>
      <c r="E48" s="2">
        <v>10.0</v>
      </c>
      <c r="F48" s="2">
        <v>2048.0</v>
      </c>
    </row>
    <row r="49" ht="22.5" customHeight="1">
      <c r="A49" s="2">
        <v>2048.0</v>
      </c>
      <c r="B49" s="2">
        <v>17.0</v>
      </c>
      <c r="C49" s="3">
        <v>4.96696E-4</v>
      </c>
      <c r="D49" s="3">
        <v>5.08658E-4</v>
      </c>
      <c r="E49" s="2">
        <v>10.0</v>
      </c>
      <c r="F49" s="2">
        <v>2048.0</v>
      </c>
    </row>
    <row r="50" ht="22.5" customHeight="1">
      <c r="A50" s="2">
        <v>2048.0</v>
      </c>
      <c r="B50" s="2">
        <v>18.0</v>
      </c>
      <c r="C50" s="3">
        <v>4.83E-4</v>
      </c>
      <c r="D50" s="3">
        <v>5.42902E-4</v>
      </c>
      <c r="E50" s="2">
        <v>10.0</v>
      </c>
      <c r="F50" s="2">
        <v>2048.0</v>
      </c>
    </row>
    <row r="51" ht="22.5" customHeight="1">
      <c r="A51" s="2">
        <v>2048.0</v>
      </c>
      <c r="B51" s="2">
        <v>19.0</v>
      </c>
      <c r="C51" s="3">
        <v>4.83962E-4</v>
      </c>
      <c r="D51" s="3">
        <v>5.3623E-4</v>
      </c>
      <c r="E51" s="2">
        <v>10.0</v>
      </c>
      <c r="F51" s="2">
        <v>2048.0</v>
      </c>
    </row>
    <row r="52" ht="22.5" customHeight="1">
      <c r="A52" s="2">
        <v>2048.0</v>
      </c>
      <c r="B52" s="2">
        <v>20.0</v>
      </c>
      <c r="C52" s="3">
        <v>4.89372E-4</v>
      </c>
      <c r="D52" s="3">
        <v>4.87288E-4</v>
      </c>
      <c r="E52" s="2">
        <v>10.0</v>
      </c>
      <c r="F52" s="2">
        <v>2048.0</v>
      </c>
    </row>
    <row r="53" ht="22.5" customHeight="1">
      <c r="A53" s="2">
        <v>2048.0</v>
      </c>
      <c r="B53" s="2">
        <v>21.0</v>
      </c>
      <c r="C53" s="3">
        <v>4.8905E-4</v>
      </c>
      <c r="D53" s="3">
        <v>4.90895E-4</v>
      </c>
      <c r="E53" s="2">
        <v>10.0</v>
      </c>
      <c r="F53" s="2">
        <v>2048.0</v>
      </c>
    </row>
    <row r="54" ht="22.5" customHeight="1">
      <c r="A54" s="2">
        <v>2048.0</v>
      </c>
      <c r="B54" s="2">
        <v>22.0</v>
      </c>
      <c r="C54" s="3">
        <v>4.77139E-4</v>
      </c>
      <c r="D54" s="3">
        <v>7.39048E-4</v>
      </c>
      <c r="E54" s="2">
        <v>10.0</v>
      </c>
      <c r="F54" s="2">
        <v>2048.0</v>
      </c>
    </row>
    <row r="55" ht="22.5" customHeight="1">
      <c r="A55" s="2">
        <v>2048.0</v>
      </c>
      <c r="B55" s="2">
        <v>23.0</v>
      </c>
      <c r="C55" s="3">
        <v>5.90591E-4</v>
      </c>
      <c r="D55" s="3">
        <v>5.24718E-4</v>
      </c>
      <c r="E55" s="2">
        <v>10.0</v>
      </c>
      <c r="F55" s="2">
        <v>2048.0</v>
      </c>
    </row>
    <row r="56" ht="22.5" customHeight="1">
      <c r="A56" s="2">
        <v>2048.0</v>
      </c>
      <c r="B56" s="2">
        <v>24.0</v>
      </c>
      <c r="C56" s="3">
        <v>4.8839E-4</v>
      </c>
      <c r="D56" s="3">
        <v>6.27981E-4</v>
      </c>
      <c r="E56" s="2">
        <v>10.0</v>
      </c>
      <c r="F56" s="2">
        <v>2048.0</v>
      </c>
    </row>
    <row r="57" ht="22.5" customHeight="1">
      <c r="A57" s="2">
        <v>2048.0</v>
      </c>
      <c r="B57" s="2">
        <v>25.0</v>
      </c>
      <c r="C57" s="3">
        <v>5.78829E-4</v>
      </c>
      <c r="D57" s="3">
        <v>5.02877E-4</v>
      </c>
      <c r="E57" s="2">
        <v>10.0</v>
      </c>
      <c r="F57" s="2">
        <v>2048.0</v>
      </c>
    </row>
    <row r="58" ht="22.5" customHeight="1">
      <c r="A58" s="2">
        <v>2048.0</v>
      </c>
      <c r="B58" s="2">
        <v>26.0</v>
      </c>
      <c r="C58" s="3">
        <v>5.34917E-4</v>
      </c>
      <c r="D58" s="3">
        <v>6.22771E-4</v>
      </c>
      <c r="E58" s="2">
        <v>10.0</v>
      </c>
      <c r="F58" s="2">
        <v>2048.0</v>
      </c>
    </row>
    <row r="59" ht="22.5" customHeight="1">
      <c r="A59" s="2">
        <v>2048.0</v>
      </c>
      <c r="B59" s="2">
        <v>27.0</v>
      </c>
      <c r="C59" s="3">
        <v>6.04778E-4</v>
      </c>
      <c r="D59" s="3">
        <v>4.7752E-4</v>
      </c>
      <c r="E59" s="2">
        <v>10.0</v>
      </c>
      <c r="F59" s="2">
        <v>2048.0</v>
      </c>
    </row>
    <row r="60" ht="22.5" customHeight="1">
      <c r="A60" s="2">
        <v>2048.0</v>
      </c>
      <c r="B60" s="2">
        <v>28.0</v>
      </c>
      <c r="C60" s="3">
        <v>4.99892E-4</v>
      </c>
      <c r="D60" s="3">
        <v>5.80543E-4</v>
      </c>
      <c r="E60" s="2">
        <v>10.0</v>
      </c>
      <c r="F60" s="2">
        <v>2048.0</v>
      </c>
    </row>
    <row r="61" ht="22.5" customHeight="1">
      <c r="A61" s="2">
        <v>2048.0</v>
      </c>
      <c r="B61" s="2">
        <v>29.0</v>
      </c>
      <c r="C61" s="3">
        <v>6.01431E-4</v>
      </c>
      <c r="D61" s="3">
        <v>4.85755E-4</v>
      </c>
      <c r="E61" s="2">
        <v>10.0</v>
      </c>
      <c r="F61" s="2">
        <v>2048.0</v>
      </c>
    </row>
    <row r="62" ht="22.5" customHeight="1">
      <c r="A62" s="2">
        <v>4096.0</v>
      </c>
      <c r="B62" s="2">
        <v>0.0</v>
      </c>
      <c r="C62" s="3">
        <v>0.001120868</v>
      </c>
      <c r="D62" s="3">
        <v>0.001130217</v>
      </c>
      <c r="E62" s="2">
        <v>11.0</v>
      </c>
      <c r="F62" s="2">
        <v>4096.0</v>
      </c>
    </row>
    <row r="63" ht="22.5" customHeight="1">
      <c r="A63" s="2">
        <v>4096.0</v>
      </c>
      <c r="B63" s="2">
        <v>1.0</v>
      </c>
      <c r="C63" s="3">
        <v>0.001409769</v>
      </c>
      <c r="D63" s="3">
        <v>0.001112935</v>
      </c>
      <c r="E63" s="2">
        <v>11.0</v>
      </c>
      <c r="F63" s="2">
        <v>4096.0</v>
      </c>
    </row>
    <row r="64" ht="22.5" customHeight="1">
      <c r="A64" s="2">
        <v>4096.0</v>
      </c>
      <c r="B64" s="2">
        <v>2.0</v>
      </c>
      <c r="C64" s="3">
        <v>0.001465141</v>
      </c>
      <c r="D64" s="3">
        <v>0.001470912</v>
      </c>
      <c r="E64" s="2">
        <v>11.0</v>
      </c>
      <c r="F64" s="2">
        <v>4096.0</v>
      </c>
    </row>
    <row r="65" ht="22.5" customHeight="1">
      <c r="A65" s="2">
        <v>4096.0</v>
      </c>
      <c r="B65" s="2">
        <v>3.0</v>
      </c>
      <c r="C65" s="3">
        <v>0.00150772</v>
      </c>
      <c r="D65" s="3">
        <v>0.001495497</v>
      </c>
      <c r="E65" s="2">
        <v>11.0</v>
      </c>
      <c r="F65" s="2">
        <v>4096.0</v>
      </c>
    </row>
    <row r="66" ht="22.5" customHeight="1">
      <c r="A66" s="2">
        <v>4096.0</v>
      </c>
      <c r="B66" s="2">
        <v>4.0</v>
      </c>
      <c r="C66" s="3">
        <v>0.001587051</v>
      </c>
      <c r="D66" s="3">
        <v>0.001454843</v>
      </c>
      <c r="E66" s="2">
        <v>11.0</v>
      </c>
      <c r="F66" s="2">
        <v>4096.0</v>
      </c>
    </row>
    <row r="67" ht="22.5" customHeight="1">
      <c r="A67" s="2">
        <v>4096.0</v>
      </c>
      <c r="B67" s="2">
        <v>5.0</v>
      </c>
      <c r="C67" s="3">
        <v>0.002228</v>
      </c>
      <c r="D67" s="3">
        <v>4.83411E-4</v>
      </c>
      <c r="E67" s="2">
        <v>11.0</v>
      </c>
      <c r="F67" s="2">
        <v>4096.0</v>
      </c>
    </row>
    <row r="68" ht="22.5" customHeight="1">
      <c r="A68" s="2">
        <v>4096.0</v>
      </c>
      <c r="B68" s="2">
        <v>6.0</v>
      </c>
      <c r="C68" s="3">
        <v>0.002141131</v>
      </c>
      <c r="D68" s="3">
        <v>0.002061472</v>
      </c>
      <c r="E68" s="2">
        <v>11.0</v>
      </c>
      <c r="F68" s="2">
        <v>4096.0</v>
      </c>
    </row>
    <row r="69" ht="22.5" customHeight="1">
      <c r="A69" s="2">
        <v>4096.0</v>
      </c>
      <c r="B69" s="2">
        <v>7.0</v>
      </c>
      <c r="C69" s="3">
        <v>0.002092462</v>
      </c>
      <c r="D69" s="3">
        <v>0.002037779</v>
      </c>
      <c r="E69" s="2">
        <v>11.0</v>
      </c>
      <c r="F69" s="2">
        <v>4096.0</v>
      </c>
    </row>
    <row r="70" ht="22.5" customHeight="1">
      <c r="A70" s="2">
        <v>4096.0</v>
      </c>
      <c r="B70" s="2">
        <v>8.0</v>
      </c>
      <c r="C70" s="3">
        <v>0.00208179</v>
      </c>
      <c r="D70" s="3">
        <v>0.0020382</v>
      </c>
      <c r="E70" s="2">
        <v>11.0</v>
      </c>
      <c r="F70" s="2">
        <v>4096.0</v>
      </c>
    </row>
    <row r="71" ht="22.5" customHeight="1">
      <c r="A71" s="2">
        <v>4096.0</v>
      </c>
      <c r="B71" s="2">
        <v>9.0</v>
      </c>
      <c r="C71" s="3">
        <v>0.002141722</v>
      </c>
      <c r="D71" s="3">
        <v>0.002127877</v>
      </c>
      <c r="E71" s="2">
        <v>11.0</v>
      </c>
      <c r="F71" s="2">
        <v>4096.0</v>
      </c>
    </row>
    <row r="72" ht="22.5" customHeight="1">
      <c r="A72" s="2">
        <v>4096.0</v>
      </c>
      <c r="B72" s="2">
        <v>10.0</v>
      </c>
      <c r="C72" s="3">
        <v>0.002079045</v>
      </c>
      <c r="D72" s="3">
        <v>0.002044311</v>
      </c>
      <c r="E72" s="2">
        <v>11.0</v>
      </c>
      <c r="F72" s="2">
        <v>4096.0</v>
      </c>
    </row>
    <row r="73" ht="22.5" customHeight="1">
      <c r="A73" s="2">
        <v>4096.0</v>
      </c>
      <c r="B73" s="2">
        <v>11.0</v>
      </c>
      <c r="C73" s="3">
        <v>0.002032379</v>
      </c>
      <c r="D73" s="3">
        <v>0.002045243</v>
      </c>
      <c r="E73" s="2">
        <v>11.0</v>
      </c>
      <c r="F73" s="2">
        <v>4096.0</v>
      </c>
    </row>
    <row r="74" ht="22.5" customHeight="1">
      <c r="A74" s="2">
        <v>4096.0</v>
      </c>
      <c r="B74" s="2">
        <v>12.0</v>
      </c>
      <c r="C74" s="3">
        <v>0.00203871</v>
      </c>
      <c r="D74" s="3">
        <v>0.002040263</v>
      </c>
      <c r="E74" s="2">
        <v>11.0</v>
      </c>
      <c r="F74" s="2">
        <v>4096.0</v>
      </c>
    </row>
    <row r="75" ht="22.5" customHeight="1">
      <c r="A75" s="2">
        <v>4096.0</v>
      </c>
      <c r="B75" s="2">
        <v>13.0</v>
      </c>
      <c r="C75" s="3">
        <v>6.0115E-4</v>
      </c>
      <c r="D75" s="3">
        <v>0.002069958</v>
      </c>
      <c r="E75" s="2">
        <v>11.0</v>
      </c>
      <c r="F75" s="2">
        <v>4096.0</v>
      </c>
    </row>
    <row r="76" ht="22.5" customHeight="1">
      <c r="A76" s="2">
        <v>4096.0</v>
      </c>
      <c r="B76" s="2">
        <v>14.0</v>
      </c>
      <c r="C76" s="3">
        <v>5.85051E-4</v>
      </c>
      <c r="D76" s="3">
        <v>5.54944E-4</v>
      </c>
      <c r="E76" s="2">
        <v>11.0</v>
      </c>
      <c r="F76" s="2">
        <v>4096.0</v>
      </c>
    </row>
    <row r="77" ht="22.5" customHeight="1">
      <c r="A77" s="2">
        <v>4096.0</v>
      </c>
      <c r="B77" s="2">
        <v>15.0</v>
      </c>
      <c r="C77" s="3">
        <v>5.48573E-4</v>
      </c>
      <c r="D77" s="3">
        <v>5.71896E-4</v>
      </c>
      <c r="E77" s="2">
        <v>11.0</v>
      </c>
      <c r="F77" s="2">
        <v>4096.0</v>
      </c>
    </row>
    <row r="78" ht="22.5" customHeight="1">
      <c r="A78" s="2">
        <v>4096.0</v>
      </c>
      <c r="B78" s="2">
        <v>16.0</v>
      </c>
      <c r="C78" s="3">
        <v>5.17003E-4</v>
      </c>
      <c r="D78" s="3">
        <v>6.46295E-4</v>
      </c>
      <c r="E78" s="2">
        <v>11.0</v>
      </c>
      <c r="F78" s="2">
        <v>4096.0</v>
      </c>
    </row>
    <row r="79" ht="22.5" customHeight="1">
      <c r="A79" s="2">
        <v>4096.0</v>
      </c>
      <c r="B79" s="2">
        <v>17.0</v>
      </c>
      <c r="C79" s="3">
        <v>5.67237E-4</v>
      </c>
      <c r="D79" s="3">
        <v>5.74792E-4</v>
      </c>
      <c r="E79" s="2">
        <v>11.0</v>
      </c>
      <c r="F79" s="2">
        <v>4096.0</v>
      </c>
    </row>
    <row r="80" ht="22.5" customHeight="1">
      <c r="A80" s="2">
        <v>4096.0</v>
      </c>
      <c r="B80" s="2">
        <v>18.0</v>
      </c>
      <c r="C80" s="3">
        <v>5.66656E-4</v>
      </c>
      <c r="D80" s="3">
        <v>6.39001E-4</v>
      </c>
      <c r="E80" s="2">
        <v>11.0</v>
      </c>
      <c r="F80" s="2">
        <v>4096.0</v>
      </c>
    </row>
    <row r="81" ht="22.5" customHeight="1">
      <c r="A81" s="2">
        <v>4096.0</v>
      </c>
      <c r="B81" s="2">
        <v>19.0</v>
      </c>
      <c r="C81" s="3">
        <v>5.30629E-4</v>
      </c>
      <c r="D81" s="3">
        <v>5.91312E-4</v>
      </c>
      <c r="E81" s="2">
        <v>11.0</v>
      </c>
      <c r="F81" s="2">
        <v>4096.0</v>
      </c>
    </row>
    <row r="82" ht="22.5" customHeight="1">
      <c r="A82" s="2">
        <v>4096.0</v>
      </c>
      <c r="B82" s="2">
        <v>20.0</v>
      </c>
      <c r="C82" s="3">
        <v>5.66146E-4</v>
      </c>
      <c r="D82" s="3">
        <v>5.89499E-4</v>
      </c>
      <c r="E82" s="2">
        <v>11.0</v>
      </c>
      <c r="F82" s="2">
        <v>4096.0</v>
      </c>
    </row>
    <row r="83" ht="22.5" customHeight="1">
      <c r="A83" s="2">
        <v>4096.0</v>
      </c>
      <c r="B83" s="2">
        <v>21.0</v>
      </c>
      <c r="C83" s="3">
        <v>5.69903E-4</v>
      </c>
      <c r="D83" s="3">
        <v>5.50506E-4</v>
      </c>
      <c r="E83" s="2">
        <v>11.0</v>
      </c>
      <c r="F83" s="2">
        <v>4096.0</v>
      </c>
    </row>
    <row r="84" ht="22.5" customHeight="1">
      <c r="A84" s="2">
        <v>4096.0</v>
      </c>
      <c r="B84" s="2">
        <v>22.0</v>
      </c>
      <c r="C84" s="3">
        <v>5.38744E-4</v>
      </c>
      <c r="D84" s="3">
        <v>5.69873E-4</v>
      </c>
      <c r="E84" s="2">
        <v>11.0</v>
      </c>
      <c r="F84" s="2">
        <v>4096.0</v>
      </c>
    </row>
    <row r="85" ht="22.5" customHeight="1">
      <c r="A85" s="2">
        <v>4096.0</v>
      </c>
      <c r="B85" s="2">
        <v>23.0</v>
      </c>
      <c r="C85" s="3">
        <v>5.25199E-4</v>
      </c>
      <c r="D85" s="3">
        <v>5.59882E-4</v>
      </c>
      <c r="E85" s="2">
        <v>11.0</v>
      </c>
      <c r="F85" s="2">
        <v>4096.0</v>
      </c>
    </row>
    <row r="86" ht="22.5" customHeight="1">
      <c r="A86" s="2">
        <v>4096.0</v>
      </c>
      <c r="B86" s="2">
        <v>24.0</v>
      </c>
      <c r="C86" s="3">
        <v>5.46879E-4</v>
      </c>
      <c r="D86" s="3">
        <v>6.02082E-4</v>
      </c>
      <c r="E86" s="2">
        <v>11.0</v>
      </c>
      <c r="F86" s="2">
        <v>4096.0</v>
      </c>
    </row>
    <row r="87" ht="22.5" customHeight="1">
      <c r="A87" s="2">
        <v>4096.0</v>
      </c>
      <c r="B87" s="2">
        <v>25.0</v>
      </c>
      <c r="C87" s="3">
        <v>5.45256E-4</v>
      </c>
      <c r="D87" s="3">
        <v>5.56548E-4</v>
      </c>
      <c r="E87" s="2">
        <v>11.0</v>
      </c>
      <c r="F87" s="2">
        <v>4096.0</v>
      </c>
    </row>
    <row r="88" ht="22.5" customHeight="1">
      <c r="A88" s="2">
        <v>4096.0</v>
      </c>
      <c r="B88" s="2">
        <v>26.0</v>
      </c>
      <c r="C88" s="3">
        <v>5.75542E-4</v>
      </c>
      <c r="D88" s="3">
        <v>5.67457E-4</v>
      </c>
      <c r="E88" s="2">
        <v>11.0</v>
      </c>
      <c r="F88" s="2">
        <v>4096.0</v>
      </c>
    </row>
    <row r="89" ht="22.5" customHeight="1">
      <c r="A89" s="2">
        <v>4096.0</v>
      </c>
      <c r="B89" s="2">
        <v>27.0</v>
      </c>
      <c r="C89" s="3">
        <v>5.59783E-4</v>
      </c>
      <c r="D89" s="3">
        <v>5.30218E-4</v>
      </c>
      <c r="E89" s="2">
        <v>11.0</v>
      </c>
      <c r="F89" s="2">
        <v>4096.0</v>
      </c>
    </row>
    <row r="90" ht="22.5" customHeight="1">
      <c r="A90" s="2">
        <v>4096.0</v>
      </c>
      <c r="B90" s="2">
        <v>28.0</v>
      </c>
      <c r="C90" s="3">
        <v>5.39676E-4</v>
      </c>
      <c r="D90" s="3">
        <v>6.36827E-4</v>
      </c>
      <c r="E90" s="2">
        <v>11.0</v>
      </c>
      <c r="F90" s="2">
        <v>4096.0</v>
      </c>
    </row>
    <row r="91" ht="22.5" customHeight="1">
      <c r="A91" s="2">
        <v>4096.0</v>
      </c>
      <c r="B91" s="2">
        <v>29.0</v>
      </c>
      <c r="C91" s="3">
        <v>5.74751E-4</v>
      </c>
      <c r="D91" s="3">
        <v>5.91272E-4</v>
      </c>
      <c r="E91" s="2">
        <v>11.0</v>
      </c>
      <c r="F91" s="2">
        <v>4096.0</v>
      </c>
    </row>
    <row r="92" ht="22.5" customHeight="1">
      <c r="A92" s="2">
        <v>8192.0</v>
      </c>
      <c r="B92" s="2">
        <v>0.0</v>
      </c>
      <c r="C92" s="3">
        <v>9.6003E-4</v>
      </c>
      <c r="D92" s="3">
        <v>0.001012718</v>
      </c>
      <c r="E92" s="2">
        <v>12.0</v>
      </c>
      <c r="F92" s="2">
        <v>8192.0</v>
      </c>
    </row>
    <row r="93" ht="22.5" customHeight="1">
      <c r="A93" s="2">
        <v>8192.0</v>
      </c>
      <c r="B93" s="2">
        <v>1.0</v>
      </c>
      <c r="C93" s="3">
        <v>0.00107341</v>
      </c>
      <c r="D93" s="3">
        <v>0.001018779</v>
      </c>
      <c r="E93" s="2">
        <v>12.0</v>
      </c>
      <c r="F93" s="2">
        <v>8192.0</v>
      </c>
    </row>
    <row r="94" ht="22.5" customHeight="1">
      <c r="A94" s="2">
        <v>8192.0</v>
      </c>
      <c r="B94" s="2">
        <v>2.0</v>
      </c>
      <c r="C94" s="3">
        <v>9.64568E-4</v>
      </c>
      <c r="D94" s="3">
        <v>0.001012457</v>
      </c>
      <c r="E94" s="2">
        <v>12.0</v>
      </c>
      <c r="F94" s="2">
        <v>8192.0</v>
      </c>
    </row>
    <row r="95" ht="22.5" customHeight="1">
      <c r="A95" s="2">
        <v>8192.0</v>
      </c>
      <c r="B95" s="2">
        <v>3.0</v>
      </c>
      <c r="C95" s="3">
        <v>9.66231E-4</v>
      </c>
      <c r="D95" s="3">
        <v>0.001039176</v>
      </c>
      <c r="E95" s="2">
        <v>12.0</v>
      </c>
      <c r="F95" s="2">
        <v>8192.0</v>
      </c>
    </row>
    <row r="96" ht="22.5" customHeight="1">
      <c r="A96" s="2">
        <v>8192.0</v>
      </c>
      <c r="B96" s="2">
        <v>4.0</v>
      </c>
      <c r="C96" s="3">
        <v>9.7605E-4</v>
      </c>
      <c r="D96" s="3">
        <v>9.69014E-4</v>
      </c>
      <c r="E96" s="2">
        <v>12.0</v>
      </c>
      <c r="F96" s="2">
        <v>8192.0</v>
      </c>
    </row>
    <row r="97" ht="22.5" customHeight="1">
      <c r="A97" s="2">
        <v>8192.0</v>
      </c>
      <c r="B97" s="2">
        <v>5.0</v>
      </c>
      <c r="C97" s="3">
        <v>9.04465E-4</v>
      </c>
      <c r="D97" s="3">
        <v>9.52646E-4</v>
      </c>
      <c r="E97" s="2">
        <v>12.0</v>
      </c>
      <c r="F97" s="2">
        <v>8192.0</v>
      </c>
    </row>
    <row r="98" ht="22.5" customHeight="1">
      <c r="A98" s="2">
        <v>8192.0</v>
      </c>
      <c r="B98" s="2">
        <v>6.0</v>
      </c>
      <c r="C98" s="3">
        <v>9.05739E-4</v>
      </c>
      <c r="D98" s="3">
        <v>9.80837E-4</v>
      </c>
      <c r="E98" s="2">
        <v>12.0</v>
      </c>
      <c r="F98" s="2">
        <v>8192.0</v>
      </c>
    </row>
    <row r="99" ht="22.5" customHeight="1">
      <c r="A99" s="2">
        <v>8192.0</v>
      </c>
      <c r="B99" s="2">
        <v>7.0</v>
      </c>
      <c r="C99" s="3">
        <v>8.87786E-4</v>
      </c>
      <c r="D99" s="3">
        <v>8.51177E-4</v>
      </c>
      <c r="E99" s="2">
        <v>12.0</v>
      </c>
      <c r="F99" s="2">
        <v>8192.0</v>
      </c>
    </row>
    <row r="100" ht="22.5" customHeight="1">
      <c r="A100" s="2">
        <v>8192.0</v>
      </c>
      <c r="B100" s="2">
        <v>8.0</v>
      </c>
      <c r="C100" s="3">
        <v>0.001041281</v>
      </c>
      <c r="D100" s="3">
        <v>7.92437E-4</v>
      </c>
      <c r="E100" s="2">
        <v>12.0</v>
      </c>
      <c r="F100" s="2">
        <v>8192.0</v>
      </c>
    </row>
    <row r="101" ht="22.5" customHeight="1">
      <c r="A101" s="2">
        <v>8192.0</v>
      </c>
      <c r="B101" s="2">
        <v>9.0</v>
      </c>
      <c r="C101" s="3">
        <v>8.78957E-4</v>
      </c>
      <c r="D101" s="3">
        <v>8.10942E-4</v>
      </c>
      <c r="E101" s="2">
        <v>12.0</v>
      </c>
      <c r="F101" s="2">
        <v>8192.0</v>
      </c>
    </row>
    <row r="102" ht="22.5" customHeight="1">
      <c r="A102" s="2">
        <v>8192.0</v>
      </c>
      <c r="B102" s="2">
        <v>10.0</v>
      </c>
      <c r="C102" s="3">
        <v>8.77766E-4</v>
      </c>
      <c r="D102" s="3">
        <v>7.96454E-4</v>
      </c>
      <c r="E102" s="2">
        <v>12.0</v>
      </c>
      <c r="F102" s="2">
        <v>8192.0</v>
      </c>
    </row>
    <row r="103" ht="22.5" customHeight="1">
      <c r="A103" s="2">
        <v>8192.0</v>
      </c>
      <c r="B103" s="2">
        <v>11.0</v>
      </c>
      <c r="C103" s="3">
        <v>9.11288E-4</v>
      </c>
      <c r="D103" s="3">
        <v>7.99279E-4</v>
      </c>
      <c r="E103" s="2">
        <v>12.0</v>
      </c>
      <c r="F103" s="2">
        <v>8192.0</v>
      </c>
    </row>
    <row r="104" ht="22.5" customHeight="1">
      <c r="A104" s="2">
        <v>8192.0</v>
      </c>
      <c r="B104" s="2">
        <v>12.0</v>
      </c>
      <c r="C104" s="3">
        <v>8.98344E-4</v>
      </c>
      <c r="D104" s="3">
        <v>7.66388E-4</v>
      </c>
      <c r="E104" s="2">
        <v>12.0</v>
      </c>
      <c r="F104" s="2">
        <v>8192.0</v>
      </c>
    </row>
    <row r="105" ht="22.5" customHeight="1">
      <c r="A105" s="2">
        <v>8192.0</v>
      </c>
      <c r="B105" s="2">
        <v>13.0</v>
      </c>
      <c r="C105" s="3">
        <v>7.91585E-4</v>
      </c>
      <c r="D105" s="3">
        <v>7.8878E-4</v>
      </c>
      <c r="E105" s="2">
        <v>12.0</v>
      </c>
      <c r="F105" s="2">
        <v>8192.0</v>
      </c>
    </row>
    <row r="106" ht="22.5" customHeight="1">
      <c r="A106" s="2">
        <v>8192.0</v>
      </c>
      <c r="B106" s="2">
        <v>14.0</v>
      </c>
      <c r="C106" s="3">
        <v>3.95507E-4</v>
      </c>
      <c r="D106" s="3">
        <v>3.92661E-4</v>
      </c>
      <c r="E106" s="2">
        <v>12.0</v>
      </c>
      <c r="F106" s="2">
        <v>8192.0</v>
      </c>
    </row>
    <row r="107" ht="22.5" customHeight="1">
      <c r="A107" s="2">
        <v>8192.0</v>
      </c>
      <c r="B107" s="2">
        <v>15.0</v>
      </c>
      <c r="C107" s="3">
        <v>3.71523E-4</v>
      </c>
      <c r="D107" s="3">
        <v>4.21075E-4</v>
      </c>
      <c r="E107" s="2">
        <v>12.0</v>
      </c>
      <c r="F107" s="2">
        <v>8192.0</v>
      </c>
    </row>
    <row r="108" ht="22.5" customHeight="1">
      <c r="A108" s="2">
        <v>8192.0</v>
      </c>
      <c r="B108" s="2">
        <v>16.0</v>
      </c>
      <c r="C108" s="3">
        <v>4.00447E-4</v>
      </c>
      <c r="D108" s="3">
        <v>3.96068E-4</v>
      </c>
      <c r="E108" s="2">
        <v>12.0</v>
      </c>
      <c r="F108" s="2">
        <v>8192.0</v>
      </c>
    </row>
    <row r="109" ht="22.5" customHeight="1">
      <c r="A109" s="2">
        <v>8192.0</v>
      </c>
      <c r="B109" s="2">
        <v>17.0</v>
      </c>
      <c r="C109" s="3">
        <v>3.77503E-4</v>
      </c>
      <c r="D109" s="3">
        <v>4.18309E-4</v>
      </c>
      <c r="E109" s="2">
        <v>12.0</v>
      </c>
      <c r="F109" s="2">
        <v>8192.0</v>
      </c>
    </row>
    <row r="110" ht="22.5" customHeight="1">
      <c r="A110" s="2">
        <v>8192.0</v>
      </c>
      <c r="B110" s="2">
        <v>18.0</v>
      </c>
      <c r="C110" s="3">
        <v>4.00586E-4</v>
      </c>
      <c r="D110" s="3">
        <v>3.95337E-4</v>
      </c>
      <c r="E110" s="2">
        <v>12.0</v>
      </c>
      <c r="F110" s="2">
        <v>8192.0</v>
      </c>
    </row>
    <row r="111" ht="22.5" customHeight="1">
      <c r="A111" s="2">
        <v>8192.0</v>
      </c>
      <c r="B111" s="2">
        <v>19.0</v>
      </c>
      <c r="C111" s="3">
        <v>3.88504E-4</v>
      </c>
      <c r="D111" s="3">
        <v>4.17399E-4</v>
      </c>
      <c r="E111" s="2">
        <v>12.0</v>
      </c>
      <c r="F111" s="2">
        <v>8192.0</v>
      </c>
    </row>
    <row r="112" ht="22.5" customHeight="1">
      <c r="A112" s="2">
        <v>8192.0</v>
      </c>
      <c r="B112" s="2">
        <v>20.0</v>
      </c>
      <c r="C112" s="3">
        <v>3.24625E-4</v>
      </c>
      <c r="D112" s="3">
        <v>2.27644E-4</v>
      </c>
      <c r="E112" s="2">
        <v>12.0</v>
      </c>
      <c r="F112" s="2">
        <v>8192.0</v>
      </c>
    </row>
    <row r="113" ht="22.5" customHeight="1">
      <c r="A113" s="2">
        <v>8192.0</v>
      </c>
      <c r="B113" s="2">
        <v>21.0</v>
      </c>
      <c r="C113" s="3">
        <v>2.37352E-4</v>
      </c>
      <c r="D113" s="3">
        <v>2.30641E-4</v>
      </c>
      <c r="E113" s="2">
        <v>12.0</v>
      </c>
      <c r="F113" s="2">
        <v>8192.0</v>
      </c>
    </row>
    <row r="114" ht="22.5" customHeight="1">
      <c r="A114" s="2">
        <v>8192.0</v>
      </c>
      <c r="B114" s="2">
        <v>22.0</v>
      </c>
      <c r="C114" s="3">
        <v>3.04498E-4</v>
      </c>
      <c r="D114" s="3">
        <v>2.28426E-4</v>
      </c>
      <c r="E114" s="2">
        <v>12.0</v>
      </c>
      <c r="F114" s="2">
        <v>8192.0</v>
      </c>
    </row>
    <row r="115" ht="22.5" customHeight="1">
      <c r="A115" s="2">
        <v>8192.0</v>
      </c>
      <c r="B115" s="2">
        <v>23.0</v>
      </c>
      <c r="C115" s="3">
        <v>2.10262E-4</v>
      </c>
      <c r="D115" s="3">
        <v>2.56738E-4</v>
      </c>
      <c r="E115" s="2">
        <v>12.0</v>
      </c>
      <c r="F115" s="2">
        <v>8192.0</v>
      </c>
    </row>
    <row r="116" ht="22.5" customHeight="1">
      <c r="A116" s="2">
        <v>8192.0</v>
      </c>
      <c r="B116" s="2">
        <v>24.0</v>
      </c>
      <c r="C116" s="3">
        <v>3.74438E-4</v>
      </c>
      <c r="D116" s="3">
        <v>2.58792E-4</v>
      </c>
      <c r="E116" s="2">
        <v>12.0</v>
      </c>
      <c r="F116" s="2">
        <v>8192.0</v>
      </c>
    </row>
    <row r="117" ht="22.5" customHeight="1">
      <c r="A117" s="2">
        <v>8192.0</v>
      </c>
      <c r="B117" s="2">
        <v>25.0</v>
      </c>
      <c r="C117" s="3">
        <v>4.8312E-4</v>
      </c>
      <c r="D117" s="3">
        <v>2.54094E-4</v>
      </c>
      <c r="E117" s="2">
        <v>12.0</v>
      </c>
      <c r="F117" s="2">
        <v>8192.0</v>
      </c>
    </row>
    <row r="118" ht="22.5" customHeight="1">
      <c r="A118" s="2">
        <v>8192.0</v>
      </c>
      <c r="B118" s="2">
        <v>26.0</v>
      </c>
      <c r="C118" s="3">
        <v>2.10753E-4</v>
      </c>
      <c r="D118" s="3">
        <v>2.29749E-4</v>
      </c>
      <c r="E118" s="2">
        <v>12.0</v>
      </c>
      <c r="F118" s="2">
        <v>8192.0</v>
      </c>
    </row>
    <row r="119" ht="22.5" customHeight="1">
      <c r="A119" s="2">
        <v>8192.0</v>
      </c>
      <c r="B119" s="2">
        <v>27.0</v>
      </c>
      <c r="C119" s="3">
        <v>2.11224E-4</v>
      </c>
      <c r="D119" s="3">
        <v>2.31272E-4</v>
      </c>
      <c r="E119" s="2">
        <v>12.0</v>
      </c>
      <c r="F119" s="2">
        <v>8192.0</v>
      </c>
    </row>
    <row r="120" ht="22.5" customHeight="1">
      <c r="A120" s="2">
        <v>8192.0</v>
      </c>
      <c r="B120" s="2">
        <v>28.0</v>
      </c>
      <c r="C120" s="3">
        <v>5.03268E-4</v>
      </c>
      <c r="D120" s="3">
        <v>2.60776E-4</v>
      </c>
      <c r="E120" s="2">
        <v>12.0</v>
      </c>
      <c r="F120" s="2">
        <v>8192.0</v>
      </c>
    </row>
    <row r="121" ht="22.5" customHeight="1">
      <c r="A121" s="2">
        <v>8192.0</v>
      </c>
      <c r="B121" s="2">
        <v>29.0</v>
      </c>
      <c r="C121" s="3">
        <v>2.10112E-4</v>
      </c>
      <c r="D121" s="3">
        <v>2.48603E-4</v>
      </c>
      <c r="E121" s="2">
        <v>12.0</v>
      </c>
      <c r="F121" s="2">
        <v>8192.0</v>
      </c>
    </row>
    <row r="122" ht="22.5" customHeight="1">
      <c r="A122" s="2">
        <v>16384.0</v>
      </c>
      <c r="B122" s="2">
        <v>0.0</v>
      </c>
      <c r="C122" s="3">
        <v>4.04995E-4</v>
      </c>
      <c r="D122" s="3">
        <v>4.23439E-4</v>
      </c>
      <c r="E122" s="2">
        <v>13.0</v>
      </c>
      <c r="F122" s="2">
        <v>16384.0</v>
      </c>
    </row>
    <row r="123" ht="22.5" customHeight="1">
      <c r="A123" s="2">
        <v>16384.0</v>
      </c>
      <c r="B123" s="2">
        <v>1.0</v>
      </c>
      <c r="C123" s="3">
        <v>4.07589E-4</v>
      </c>
      <c r="D123" s="3">
        <v>4.63274E-4</v>
      </c>
      <c r="E123" s="2">
        <v>13.0</v>
      </c>
      <c r="F123" s="2">
        <v>16384.0</v>
      </c>
    </row>
    <row r="124" ht="22.5" customHeight="1">
      <c r="A124" s="2">
        <v>16384.0</v>
      </c>
      <c r="B124" s="2">
        <v>2.0</v>
      </c>
      <c r="C124" s="3">
        <v>4.2897E-4</v>
      </c>
      <c r="D124" s="3">
        <v>5.26631E-4</v>
      </c>
      <c r="E124" s="2">
        <v>13.0</v>
      </c>
      <c r="F124" s="2">
        <v>16384.0</v>
      </c>
    </row>
    <row r="125" ht="22.5" customHeight="1">
      <c r="A125" s="2">
        <v>16384.0</v>
      </c>
      <c r="B125" s="2">
        <v>3.0</v>
      </c>
      <c r="C125" s="3">
        <v>4.01148E-4</v>
      </c>
      <c r="D125" s="3">
        <v>4.58856E-4</v>
      </c>
      <c r="E125" s="2">
        <v>13.0</v>
      </c>
      <c r="F125" s="2">
        <v>16384.0</v>
      </c>
    </row>
    <row r="126" ht="22.5" customHeight="1">
      <c r="A126" s="2">
        <v>16384.0</v>
      </c>
      <c r="B126" s="2">
        <v>4.0</v>
      </c>
      <c r="C126" s="3">
        <v>7.39419E-4</v>
      </c>
      <c r="D126" s="3">
        <v>4.89633E-4</v>
      </c>
      <c r="E126" s="2">
        <v>13.0</v>
      </c>
      <c r="F126" s="2">
        <v>16384.0</v>
      </c>
    </row>
    <row r="127" ht="22.5" customHeight="1">
      <c r="A127" s="2">
        <v>16384.0</v>
      </c>
      <c r="B127" s="2">
        <v>5.0</v>
      </c>
      <c r="C127" s="3">
        <v>6.23913E-4</v>
      </c>
      <c r="D127" s="3">
        <v>4.32085E-4</v>
      </c>
      <c r="E127" s="2">
        <v>13.0</v>
      </c>
      <c r="F127" s="2">
        <v>16384.0</v>
      </c>
    </row>
    <row r="128" ht="22.5" customHeight="1">
      <c r="A128" s="2">
        <v>16384.0</v>
      </c>
      <c r="B128" s="2">
        <v>6.0</v>
      </c>
      <c r="C128" s="3">
        <v>6.98733E-4</v>
      </c>
      <c r="D128" s="3">
        <v>7.61858E-4</v>
      </c>
      <c r="E128" s="2">
        <v>13.0</v>
      </c>
      <c r="F128" s="2">
        <v>16384.0</v>
      </c>
    </row>
    <row r="129" ht="22.5" customHeight="1">
      <c r="A129" s="2">
        <v>16384.0</v>
      </c>
      <c r="B129" s="2">
        <v>7.0</v>
      </c>
      <c r="C129" s="3">
        <v>7.46251E-4</v>
      </c>
      <c r="D129" s="3">
        <v>7.74934E-4</v>
      </c>
      <c r="E129" s="2">
        <v>13.0</v>
      </c>
      <c r="F129" s="2">
        <v>16384.0</v>
      </c>
    </row>
    <row r="130" ht="22.5" customHeight="1">
      <c r="A130" s="2">
        <v>16384.0</v>
      </c>
      <c r="B130" s="2">
        <v>8.0</v>
      </c>
      <c r="C130" s="3">
        <v>7.17408E-4</v>
      </c>
      <c r="D130" s="3">
        <v>7.75886E-4</v>
      </c>
      <c r="E130" s="2">
        <v>13.0</v>
      </c>
      <c r="F130" s="2">
        <v>16384.0</v>
      </c>
    </row>
    <row r="131" ht="22.5" customHeight="1">
      <c r="A131" s="2">
        <v>16384.0</v>
      </c>
      <c r="B131" s="2">
        <v>9.0</v>
      </c>
      <c r="C131" s="3">
        <v>4.03933E-4</v>
      </c>
      <c r="D131" s="3">
        <v>6.67184E-4</v>
      </c>
      <c r="E131" s="2">
        <v>13.0</v>
      </c>
      <c r="F131" s="2">
        <v>16384.0</v>
      </c>
    </row>
    <row r="132" ht="22.5" customHeight="1">
      <c r="A132" s="2">
        <v>16384.0</v>
      </c>
      <c r="B132" s="2">
        <v>10.0</v>
      </c>
      <c r="C132" s="3">
        <v>4.56591E-4</v>
      </c>
      <c r="D132" s="3">
        <v>4.24712E-4</v>
      </c>
      <c r="E132" s="2">
        <v>13.0</v>
      </c>
      <c r="F132" s="2">
        <v>16384.0</v>
      </c>
    </row>
    <row r="133" ht="22.5" customHeight="1">
      <c r="A133" s="2">
        <v>16384.0</v>
      </c>
      <c r="B133" s="2">
        <v>11.0</v>
      </c>
      <c r="C133" s="3">
        <v>4.02671E-4</v>
      </c>
      <c r="D133" s="3">
        <v>4.75927E-4</v>
      </c>
      <c r="E133" s="2">
        <v>13.0</v>
      </c>
      <c r="F133" s="2">
        <v>16384.0</v>
      </c>
    </row>
    <row r="134" ht="22.5" customHeight="1">
      <c r="A134" s="2">
        <v>16384.0</v>
      </c>
      <c r="B134" s="2">
        <v>12.0</v>
      </c>
      <c r="C134" s="3">
        <v>4.67772E-4</v>
      </c>
      <c r="D134" s="3">
        <v>5.12525E-4</v>
      </c>
      <c r="E134" s="2">
        <v>13.0</v>
      </c>
      <c r="F134" s="2">
        <v>16384.0</v>
      </c>
    </row>
    <row r="135" ht="22.5" customHeight="1">
      <c r="A135" s="2">
        <v>16384.0</v>
      </c>
      <c r="B135" s="2">
        <v>13.0</v>
      </c>
      <c r="C135" s="3">
        <v>0.001096764</v>
      </c>
      <c r="D135" s="3">
        <v>0.001024009</v>
      </c>
      <c r="E135" s="2">
        <v>13.0</v>
      </c>
      <c r="F135" s="2">
        <v>16384.0</v>
      </c>
    </row>
    <row r="136" ht="22.5" customHeight="1">
      <c r="A136" s="2">
        <v>16384.0</v>
      </c>
      <c r="B136" s="2">
        <v>14.0</v>
      </c>
      <c r="C136" s="3">
        <v>0.001138061</v>
      </c>
      <c r="D136" s="3">
        <v>9.9236E-4</v>
      </c>
      <c r="E136" s="2">
        <v>13.0</v>
      </c>
      <c r="F136" s="2">
        <v>16384.0</v>
      </c>
    </row>
    <row r="137" ht="22.5" customHeight="1">
      <c r="A137" s="2">
        <v>16384.0</v>
      </c>
      <c r="B137" s="2">
        <v>15.0</v>
      </c>
      <c r="C137" s="3">
        <v>0.001167867</v>
      </c>
      <c r="D137" s="3">
        <v>0.001027455</v>
      </c>
      <c r="E137" s="2">
        <v>13.0</v>
      </c>
      <c r="F137" s="2">
        <v>16384.0</v>
      </c>
    </row>
    <row r="138" ht="22.5" customHeight="1">
      <c r="A138" s="2">
        <v>16384.0</v>
      </c>
      <c r="B138" s="2">
        <v>16.0</v>
      </c>
      <c r="C138" s="3">
        <v>0.001135036</v>
      </c>
      <c r="D138" s="3">
        <v>9.98581E-4</v>
      </c>
      <c r="E138" s="2">
        <v>13.0</v>
      </c>
      <c r="F138" s="2">
        <v>16384.0</v>
      </c>
    </row>
    <row r="139" ht="22.5" customHeight="1">
      <c r="A139" s="2">
        <v>16384.0</v>
      </c>
      <c r="B139" s="2">
        <v>17.0</v>
      </c>
      <c r="C139" s="3">
        <v>0.001097776</v>
      </c>
      <c r="D139" s="3">
        <v>0.001038125</v>
      </c>
      <c r="E139" s="2">
        <v>13.0</v>
      </c>
      <c r="F139" s="2">
        <v>16384.0</v>
      </c>
    </row>
    <row r="140" ht="22.5" customHeight="1">
      <c r="A140" s="2">
        <v>16384.0</v>
      </c>
      <c r="B140" s="2">
        <v>18.0</v>
      </c>
      <c r="C140" s="3">
        <v>0.00113724</v>
      </c>
      <c r="D140" s="3">
        <v>0.001055628</v>
      </c>
      <c r="E140" s="2">
        <v>13.0</v>
      </c>
      <c r="F140" s="2">
        <v>16384.0</v>
      </c>
    </row>
    <row r="141" ht="22.5" customHeight="1">
      <c r="A141" s="2">
        <v>16384.0</v>
      </c>
      <c r="B141" s="2">
        <v>19.0</v>
      </c>
      <c r="C141" s="3">
        <v>4.96185E-4</v>
      </c>
      <c r="D141" s="3">
        <v>9.2279E-4</v>
      </c>
      <c r="E141" s="2">
        <v>13.0</v>
      </c>
      <c r="F141" s="2">
        <v>16384.0</v>
      </c>
    </row>
    <row r="142" ht="22.5" customHeight="1">
      <c r="A142" s="2">
        <v>16384.0</v>
      </c>
      <c r="B142" s="2">
        <v>20.0</v>
      </c>
      <c r="C142" s="3">
        <v>4.65657E-4</v>
      </c>
      <c r="D142" s="3">
        <v>4.69295E-4</v>
      </c>
      <c r="E142" s="2">
        <v>13.0</v>
      </c>
      <c r="F142" s="2">
        <v>16384.0</v>
      </c>
    </row>
    <row r="143" ht="22.5" customHeight="1">
      <c r="A143" s="2">
        <v>16384.0</v>
      </c>
      <c r="B143" s="2">
        <v>21.0</v>
      </c>
      <c r="C143" s="3">
        <v>4.43257E-4</v>
      </c>
      <c r="D143" s="3">
        <v>4.70918E-4</v>
      </c>
      <c r="E143" s="2">
        <v>13.0</v>
      </c>
      <c r="F143" s="2">
        <v>16384.0</v>
      </c>
    </row>
    <row r="144" ht="22.5" customHeight="1">
      <c r="A144" s="2">
        <v>16384.0</v>
      </c>
      <c r="B144" s="2">
        <v>22.0</v>
      </c>
      <c r="C144" s="3">
        <v>4.51692E-4</v>
      </c>
      <c r="D144" s="3">
        <v>4.68975E-4</v>
      </c>
      <c r="E144" s="2">
        <v>13.0</v>
      </c>
      <c r="F144" s="2">
        <v>16384.0</v>
      </c>
    </row>
    <row r="145" ht="22.5" customHeight="1">
      <c r="A145" s="2">
        <v>16384.0</v>
      </c>
      <c r="B145" s="2">
        <v>23.0</v>
      </c>
      <c r="C145" s="3">
        <v>4.46021E-4</v>
      </c>
      <c r="D145" s="3">
        <v>4.65387E-4</v>
      </c>
      <c r="E145" s="2">
        <v>13.0</v>
      </c>
      <c r="F145" s="2">
        <v>16384.0</v>
      </c>
    </row>
    <row r="146" ht="22.5" customHeight="1">
      <c r="A146" s="2">
        <v>16384.0</v>
      </c>
      <c r="B146" s="2">
        <v>24.0</v>
      </c>
      <c r="C146" s="3">
        <v>4.59466E-4</v>
      </c>
      <c r="D146" s="3">
        <v>4.671E-4</v>
      </c>
      <c r="E146" s="2">
        <v>13.0</v>
      </c>
      <c r="F146" s="2">
        <v>16384.0</v>
      </c>
    </row>
    <row r="147" ht="22.5" customHeight="1">
      <c r="A147" s="2">
        <v>16384.0</v>
      </c>
      <c r="B147" s="2">
        <v>25.0</v>
      </c>
      <c r="C147" s="3">
        <v>4.91546E-4</v>
      </c>
      <c r="D147" s="3">
        <v>6.12812E-4</v>
      </c>
      <c r="E147" s="2">
        <v>13.0</v>
      </c>
      <c r="F147" s="2">
        <v>16384.0</v>
      </c>
    </row>
    <row r="148" ht="22.5" customHeight="1">
      <c r="A148" s="2">
        <v>16384.0</v>
      </c>
      <c r="B148" s="2">
        <v>26.0</v>
      </c>
      <c r="C148" s="3">
        <v>5.06484E-4</v>
      </c>
      <c r="D148" s="3">
        <v>4.40491E-4</v>
      </c>
      <c r="E148" s="2">
        <v>13.0</v>
      </c>
      <c r="F148" s="2">
        <v>16384.0</v>
      </c>
    </row>
    <row r="149" ht="22.5" customHeight="1">
      <c r="A149" s="2">
        <v>16384.0</v>
      </c>
      <c r="B149" s="2">
        <v>27.0</v>
      </c>
      <c r="C149" s="3">
        <v>4.1791E-4</v>
      </c>
      <c r="D149" s="3">
        <v>5.15681E-4</v>
      </c>
      <c r="E149" s="2">
        <v>13.0</v>
      </c>
      <c r="F149" s="2">
        <v>16384.0</v>
      </c>
    </row>
    <row r="150" ht="22.5" customHeight="1">
      <c r="A150" s="2">
        <v>16384.0</v>
      </c>
      <c r="B150" s="2">
        <v>28.0</v>
      </c>
      <c r="C150" s="3">
        <v>4.82339E-4</v>
      </c>
      <c r="D150" s="3">
        <v>4.38357E-4</v>
      </c>
      <c r="E150" s="2">
        <v>13.0</v>
      </c>
      <c r="F150" s="2">
        <v>16384.0</v>
      </c>
    </row>
    <row r="151" ht="22.5" customHeight="1">
      <c r="A151" s="2">
        <v>16384.0</v>
      </c>
      <c r="B151" s="2">
        <v>29.0</v>
      </c>
      <c r="C151" s="3">
        <v>4.16326E-4</v>
      </c>
      <c r="D151" s="3">
        <v>4.95193E-4</v>
      </c>
      <c r="E151" s="2">
        <v>13.0</v>
      </c>
      <c r="F151" s="2">
        <v>16384.0</v>
      </c>
    </row>
    <row r="152" ht="22.5" customHeight="1">
      <c r="A152" s="2">
        <v>32768.0</v>
      </c>
      <c r="B152" s="2">
        <v>0.0</v>
      </c>
      <c r="C152" s="3">
        <v>8.21431E-4</v>
      </c>
      <c r="D152" s="3">
        <v>8.55695E-4</v>
      </c>
      <c r="E152" s="2">
        <v>14.0</v>
      </c>
      <c r="F152" s="2">
        <v>32768.0</v>
      </c>
    </row>
    <row r="153" ht="22.5" customHeight="1">
      <c r="A153" s="2">
        <v>32768.0</v>
      </c>
      <c r="B153" s="2">
        <v>1.0</v>
      </c>
      <c r="C153" s="3">
        <v>7.95503E-4</v>
      </c>
      <c r="D153" s="3">
        <v>9.19464E-4</v>
      </c>
      <c r="E153" s="2">
        <v>14.0</v>
      </c>
      <c r="F153" s="2">
        <v>32768.0</v>
      </c>
    </row>
    <row r="154" ht="22.5" customHeight="1">
      <c r="A154" s="2">
        <v>32768.0</v>
      </c>
      <c r="B154" s="2">
        <v>2.0</v>
      </c>
      <c r="C154" s="3">
        <v>8.39154E-4</v>
      </c>
      <c r="D154" s="3">
        <v>0.001101082</v>
      </c>
      <c r="E154" s="2">
        <v>14.0</v>
      </c>
      <c r="F154" s="2">
        <v>32768.0</v>
      </c>
    </row>
    <row r="155" ht="22.5" customHeight="1">
      <c r="A155" s="2">
        <v>32768.0</v>
      </c>
      <c r="B155" s="2">
        <v>3.0</v>
      </c>
      <c r="C155" s="3">
        <v>8.10351E-4</v>
      </c>
      <c r="D155" s="3">
        <v>8.65944E-4</v>
      </c>
      <c r="E155" s="2">
        <v>14.0</v>
      </c>
      <c r="F155" s="2">
        <v>32768.0</v>
      </c>
    </row>
    <row r="156" ht="22.5" customHeight="1">
      <c r="A156" s="2">
        <v>32768.0</v>
      </c>
      <c r="B156" s="2">
        <v>4.0</v>
      </c>
      <c r="C156" s="3">
        <v>0.001353342</v>
      </c>
      <c r="D156" s="3">
        <v>0.001207561</v>
      </c>
      <c r="E156" s="2">
        <v>14.0</v>
      </c>
      <c r="F156" s="2">
        <v>32768.0</v>
      </c>
    </row>
    <row r="157" ht="22.5" customHeight="1">
      <c r="A157" s="2">
        <v>32768.0</v>
      </c>
      <c r="B157" s="2">
        <v>5.0</v>
      </c>
      <c r="C157" s="3">
        <v>8.11112E-4</v>
      </c>
      <c r="D157" s="3">
        <v>8.98425E-4</v>
      </c>
      <c r="E157" s="2">
        <v>14.0</v>
      </c>
      <c r="F157" s="2">
        <v>32768.0</v>
      </c>
    </row>
    <row r="158" ht="22.5" customHeight="1">
      <c r="A158" s="2">
        <v>32768.0</v>
      </c>
      <c r="B158" s="2">
        <v>6.0</v>
      </c>
      <c r="C158" s="3">
        <v>0.00102988</v>
      </c>
      <c r="D158" s="3">
        <v>8.48922E-4</v>
      </c>
      <c r="E158" s="2">
        <v>14.0</v>
      </c>
      <c r="F158" s="2">
        <v>32768.0</v>
      </c>
    </row>
    <row r="159" ht="22.5" customHeight="1">
      <c r="A159" s="2">
        <v>32768.0</v>
      </c>
      <c r="B159" s="2">
        <v>7.0</v>
      </c>
      <c r="C159" s="3">
        <v>9.68836E-4</v>
      </c>
      <c r="D159" s="3">
        <v>9.52966E-4</v>
      </c>
      <c r="E159" s="2">
        <v>14.0</v>
      </c>
      <c r="F159" s="2">
        <v>32768.0</v>
      </c>
    </row>
    <row r="160" ht="22.5" customHeight="1">
      <c r="A160" s="2">
        <v>32768.0</v>
      </c>
      <c r="B160" s="2">
        <v>8.0</v>
      </c>
      <c r="C160" s="3">
        <v>8.98745E-4</v>
      </c>
      <c r="D160" s="3">
        <v>0.001025852</v>
      </c>
      <c r="E160" s="2">
        <v>14.0</v>
      </c>
      <c r="F160" s="2">
        <v>32768.0</v>
      </c>
    </row>
    <row r="161" ht="22.5" customHeight="1">
      <c r="A161" s="2">
        <v>32768.0</v>
      </c>
      <c r="B161" s="2">
        <v>9.0</v>
      </c>
      <c r="C161" s="3">
        <v>8.34105E-4</v>
      </c>
      <c r="D161" s="3">
        <v>9.08874E-4</v>
      </c>
      <c r="E161" s="2">
        <v>14.0</v>
      </c>
      <c r="F161" s="2">
        <v>32768.0</v>
      </c>
    </row>
    <row r="162" ht="22.5" customHeight="1">
      <c r="A162" s="2">
        <v>32768.0</v>
      </c>
      <c r="B162" s="2">
        <v>10.0</v>
      </c>
      <c r="C162" s="3">
        <v>9.08033E-4</v>
      </c>
      <c r="D162" s="3">
        <v>0.00111011</v>
      </c>
      <c r="E162" s="2">
        <v>14.0</v>
      </c>
      <c r="F162" s="2">
        <v>32768.0</v>
      </c>
    </row>
    <row r="163" ht="22.5" customHeight="1">
      <c r="A163" s="2">
        <v>32768.0</v>
      </c>
      <c r="B163" s="2">
        <v>11.0</v>
      </c>
      <c r="C163" s="3">
        <v>8.36018E-4</v>
      </c>
      <c r="D163" s="3">
        <v>9.36997E-4</v>
      </c>
      <c r="E163" s="2">
        <v>14.0</v>
      </c>
      <c r="F163" s="2">
        <v>32768.0</v>
      </c>
    </row>
    <row r="164" ht="22.5" customHeight="1">
      <c r="A164" s="2">
        <v>32768.0</v>
      </c>
      <c r="B164" s="2">
        <v>12.0</v>
      </c>
      <c r="C164" s="3">
        <v>8.82475E-4</v>
      </c>
      <c r="D164" s="3">
        <v>0.001143852</v>
      </c>
      <c r="E164" s="2">
        <v>14.0</v>
      </c>
      <c r="F164" s="2">
        <v>32768.0</v>
      </c>
    </row>
    <row r="165" ht="22.5" customHeight="1">
      <c r="A165" s="2">
        <v>32768.0</v>
      </c>
      <c r="B165" s="2">
        <v>13.0</v>
      </c>
      <c r="C165" s="3">
        <v>8.43252E-4</v>
      </c>
      <c r="D165" s="3">
        <v>9.13072E-4</v>
      </c>
      <c r="E165" s="2">
        <v>14.0</v>
      </c>
      <c r="F165" s="2">
        <v>32768.0</v>
      </c>
    </row>
    <row r="166" ht="22.5" customHeight="1">
      <c r="A166" s="2">
        <v>32768.0</v>
      </c>
      <c r="B166" s="2">
        <v>14.0</v>
      </c>
      <c r="C166" s="3">
        <v>8.78168E-4</v>
      </c>
      <c r="D166" s="3">
        <v>0.001187964</v>
      </c>
      <c r="E166" s="2">
        <v>14.0</v>
      </c>
      <c r="F166" s="2">
        <v>32768.0</v>
      </c>
    </row>
    <row r="167" ht="22.5" customHeight="1">
      <c r="A167" s="2">
        <v>32768.0</v>
      </c>
      <c r="B167" s="2">
        <v>15.0</v>
      </c>
      <c r="C167" s="3">
        <v>8.83187E-4</v>
      </c>
      <c r="D167" s="3">
        <v>9.4426E-4</v>
      </c>
      <c r="E167" s="2">
        <v>14.0</v>
      </c>
      <c r="F167" s="2">
        <v>32768.0</v>
      </c>
    </row>
    <row r="168" ht="22.5" customHeight="1">
      <c r="A168" s="2">
        <v>32768.0</v>
      </c>
      <c r="B168" s="2">
        <v>16.0</v>
      </c>
      <c r="C168" s="3">
        <v>0.001181543</v>
      </c>
      <c r="D168" s="3">
        <v>9.05438E-4</v>
      </c>
      <c r="E168" s="2">
        <v>14.0</v>
      </c>
      <c r="F168" s="2">
        <v>32768.0</v>
      </c>
    </row>
    <row r="169" ht="22.5" customHeight="1">
      <c r="A169" s="2">
        <v>32768.0</v>
      </c>
      <c r="B169" s="2">
        <v>17.0</v>
      </c>
      <c r="C169" s="3">
        <v>8.40607E-4</v>
      </c>
      <c r="D169" s="3">
        <v>9.3375E-4</v>
      </c>
      <c r="E169" s="2">
        <v>14.0</v>
      </c>
      <c r="F169" s="2">
        <v>32768.0</v>
      </c>
    </row>
    <row r="170" ht="22.5" customHeight="1">
      <c r="A170" s="2">
        <v>32768.0</v>
      </c>
      <c r="B170" s="2">
        <v>18.0</v>
      </c>
      <c r="C170" s="3">
        <v>9.52827E-4</v>
      </c>
      <c r="D170" s="3">
        <v>8.95199E-4</v>
      </c>
      <c r="E170" s="2">
        <v>14.0</v>
      </c>
      <c r="F170" s="2">
        <v>32768.0</v>
      </c>
    </row>
    <row r="171" ht="22.5" customHeight="1">
      <c r="A171" s="2">
        <v>32768.0</v>
      </c>
      <c r="B171" s="2">
        <v>19.0</v>
      </c>
      <c r="C171" s="3">
        <v>0.00107337</v>
      </c>
      <c r="D171" s="3">
        <v>9.18432E-4</v>
      </c>
      <c r="E171" s="2">
        <v>14.0</v>
      </c>
      <c r="F171" s="2">
        <v>32768.0</v>
      </c>
    </row>
    <row r="172" ht="22.5" customHeight="1">
      <c r="A172" s="2">
        <v>32768.0</v>
      </c>
      <c r="B172" s="2">
        <v>20.0</v>
      </c>
      <c r="C172" s="3">
        <v>8.61737E-4</v>
      </c>
      <c r="D172" s="3">
        <v>8.90369E-4</v>
      </c>
      <c r="E172" s="2">
        <v>14.0</v>
      </c>
      <c r="F172" s="2">
        <v>32768.0</v>
      </c>
    </row>
    <row r="173" ht="22.5" customHeight="1">
      <c r="A173" s="2">
        <v>32768.0</v>
      </c>
      <c r="B173" s="2">
        <v>21.0</v>
      </c>
      <c r="C173" s="3">
        <v>0.002674666</v>
      </c>
      <c r="D173" s="3">
        <v>0.001505015</v>
      </c>
      <c r="E173" s="2">
        <v>14.0</v>
      </c>
      <c r="F173" s="2">
        <v>32768.0</v>
      </c>
    </row>
    <row r="174" ht="22.5" customHeight="1">
      <c r="A174" s="2">
        <v>32768.0</v>
      </c>
      <c r="B174" s="2">
        <v>22.0</v>
      </c>
      <c r="C174" s="3">
        <v>0.002297272</v>
      </c>
      <c r="D174" s="3">
        <v>0.002032249</v>
      </c>
      <c r="E174" s="2">
        <v>14.0</v>
      </c>
      <c r="F174" s="2">
        <v>32768.0</v>
      </c>
    </row>
    <row r="175" ht="22.5" customHeight="1">
      <c r="A175" s="2">
        <v>32768.0</v>
      </c>
      <c r="B175" s="2">
        <v>23.0</v>
      </c>
      <c r="C175" s="3">
        <v>0.002268188</v>
      </c>
      <c r="D175" s="3">
        <v>0.002017781</v>
      </c>
      <c r="E175" s="2">
        <v>14.0</v>
      </c>
      <c r="F175" s="2">
        <v>32768.0</v>
      </c>
    </row>
    <row r="176" ht="22.5" customHeight="1">
      <c r="A176" s="2">
        <v>32768.0</v>
      </c>
      <c r="B176" s="2">
        <v>24.0</v>
      </c>
      <c r="C176" s="3">
        <v>0.002288375</v>
      </c>
      <c r="D176" s="3">
        <v>0.002008383</v>
      </c>
      <c r="E176" s="2">
        <v>14.0</v>
      </c>
      <c r="F176" s="2">
        <v>32768.0</v>
      </c>
    </row>
    <row r="177" ht="22.5" customHeight="1">
      <c r="A177" s="2">
        <v>32768.0</v>
      </c>
      <c r="B177" s="2">
        <v>25.0</v>
      </c>
      <c r="C177" s="3">
        <v>0.00219433</v>
      </c>
      <c r="D177" s="3">
        <v>0.002095315</v>
      </c>
      <c r="E177" s="2">
        <v>14.0</v>
      </c>
      <c r="F177" s="2">
        <v>32768.0</v>
      </c>
    </row>
    <row r="178" ht="22.5" customHeight="1">
      <c r="A178" s="2">
        <v>32768.0</v>
      </c>
      <c r="B178" s="2">
        <v>26.0</v>
      </c>
      <c r="C178" s="3">
        <v>0.002231029</v>
      </c>
      <c r="D178" s="3">
        <v>0.002055772</v>
      </c>
      <c r="E178" s="2">
        <v>14.0</v>
      </c>
      <c r="F178" s="2">
        <v>32768.0</v>
      </c>
    </row>
    <row r="179" ht="22.5" customHeight="1">
      <c r="A179" s="2">
        <v>32768.0</v>
      </c>
      <c r="B179" s="2">
        <v>27.0</v>
      </c>
      <c r="C179" s="3">
        <v>0.002419199</v>
      </c>
      <c r="D179" s="3">
        <v>0.00204391</v>
      </c>
      <c r="E179" s="2">
        <v>14.0</v>
      </c>
      <c r="F179" s="2">
        <v>32768.0</v>
      </c>
    </row>
    <row r="180" ht="22.5" customHeight="1">
      <c r="A180" s="2">
        <v>32768.0</v>
      </c>
      <c r="B180" s="2">
        <v>28.0</v>
      </c>
      <c r="C180" s="3">
        <v>0.00241414</v>
      </c>
      <c r="D180" s="3">
        <v>0.00211368</v>
      </c>
      <c r="E180" s="2">
        <v>14.0</v>
      </c>
      <c r="F180" s="2">
        <v>32768.0</v>
      </c>
    </row>
    <row r="181" ht="22.5" customHeight="1">
      <c r="A181" s="2">
        <v>32768.0</v>
      </c>
      <c r="B181" s="2">
        <v>29.0</v>
      </c>
      <c r="C181" s="3">
        <v>0.002255494</v>
      </c>
      <c r="D181" s="3">
        <v>0.002100475</v>
      </c>
      <c r="E181" s="2">
        <v>14.0</v>
      </c>
      <c r="F181" s="2">
        <v>32768.0</v>
      </c>
    </row>
    <row r="182" ht="22.5" customHeight="1">
      <c r="A182" s="2">
        <v>65536.0</v>
      </c>
      <c r="B182" s="2">
        <v>0.0</v>
      </c>
      <c r="C182" s="3">
        <v>0.004405733</v>
      </c>
      <c r="D182" s="3">
        <v>0.003880033</v>
      </c>
      <c r="E182" s="2">
        <v>15.0</v>
      </c>
      <c r="F182" s="2">
        <v>65536.0</v>
      </c>
    </row>
    <row r="183" ht="22.5" customHeight="1">
      <c r="A183" s="2">
        <v>65536.0</v>
      </c>
      <c r="B183" s="2">
        <v>1.0</v>
      </c>
      <c r="C183" s="3">
        <v>0.004572945</v>
      </c>
      <c r="D183" s="3">
        <v>0.004070668</v>
      </c>
      <c r="E183" s="2">
        <v>15.0</v>
      </c>
      <c r="F183" s="2">
        <v>65536.0</v>
      </c>
    </row>
    <row r="184" ht="22.5" customHeight="1">
      <c r="A184" s="2">
        <v>65536.0</v>
      </c>
      <c r="B184" s="2">
        <v>2.0</v>
      </c>
      <c r="C184" s="3">
        <v>0.001757937</v>
      </c>
      <c r="D184" s="3">
        <v>0.00167387</v>
      </c>
      <c r="E184" s="2">
        <v>15.0</v>
      </c>
      <c r="F184" s="2">
        <v>65536.0</v>
      </c>
    </row>
    <row r="185" ht="22.5" customHeight="1">
      <c r="A185" s="2">
        <v>65536.0</v>
      </c>
      <c r="B185" s="2">
        <v>3.0</v>
      </c>
      <c r="C185" s="3">
        <v>0.001599952</v>
      </c>
      <c r="D185" s="3">
        <v>0.001708495</v>
      </c>
      <c r="E185" s="2">
        <v>15.0</v>
      </c>
      <c r="F185" s="2">
        <v>65536.0</v>
      </c>
    </row>
    <row r="186" ht="22.5" customHeight="1">
      <c r="A186" s="2">
        <v>65536.0</v>
      </c>
      <c r="B186" s="2">
        <v>4.0</v>
      </c>
      <c r="C186" s="3">
        <v>0.001652731</v>
      </c>
      <c r="D186" s="3">
        <v>0.00168963</v>
      </c>
      <c r="E186" s="2">
        <v>15.0</v>
      </c>
      <c r="F186" s="2">
        <v>65536.0</v>
      </c>
    </row>
    <row r="187" ht="22.5" customHeight="1">
      <c r="A187" s="2">
        <v>65536.0</v>
      </c>
      <c r="B187" s="2">
        <v>5.0</v>
      </c>
      <c r="C187" s="3">
        <v>0.001653183</v>
      </c>
      <c r="D187" s="3">
        <v>0.001707103</v>
      </c>
      <c r="E187" s="2">
        <v>15.0</v>
      </c>
      <c r="F187" s="2">
        <v>65536.0</v>
      </c>
    </row>
    <row r="188" ht="22.5" customHeight="1">
      <c r="A188" s="2">
        <v>65536.0</v>
      </c>
      <c r="B188" s="2">
        <v>6.0</v>
      </c>
      <c r="C188" s="3">
        <v>0.001653081</v>
      </c>
      <c r="D188" s="3">
        <v>0.001690381</v>
      </c>
      <c r="E188" s="2">
        <v>15.0</v>
      </c>
      <c r="F188" s="2">
        <v>65536.0</v>
      </c>
    </row>
    <row r="189" ht="22.5" customHeight="1">
      <c r="A189" s="2">
        <v>65536.0</v>
      </c>
      <c r="B189" s="2">
        <v>7.0</v>
      </c>
      <c r="C189" s="3">
        <v>0.001596075</v>
      </c>
      <c r="D189" s="3">
        <v>0.001691684</v>
      </c>
      <c r="E189" s="2">
        <v>15.0</v>
      </c>
      <c r="F189" s="2">
        <v>65536.0</v>
      </c>
    </row>
    <row r="190" ht="22.5" customHeight="1">
      <c r="A190" s="2">
        <v>65536.0</v>
      </c>
      <c r="B190" s="2">
        <v>8.0</v>
      </c>
      <c r="C190" s="3">
        <v>0.001792264</v>
      </c>
      <c r="D190" s="3">
        <v>0.001714907</v>
      </c>
      <c r="E190" s="2">
        <v>15.0</v>
      </c>
      <c r="F190" s="2">
        <v>65536.0</v>
      </c>
    </row>
    <row r="191" ht="22.5" customHeight="1">
      <c r="A191" s="2">
        <v>65536.0</v>
      </c>
      <c r="B191" s="2">
        <v>9.0</v>
      </c>
      <c r="C191" s="3">
        <v>0.002326385</v>
      </c>
      <c r="D191" s="3">
        <v>0.001699218</v>
      </c>
      <c r="E191" s="2">
        <v>15.0</v>
      </c>
      <c r="F191" s="2">
        <v>65536.0</v>
      </c>
    </row>
    <row r="192" ht="22.5" customHeight="1">
      <c r="A192" s="2">
        <v>65536.0</v>
      </c>
      <c r="B192" s="2">
        <v>10.0</v>
      </c>
      <c r="C192" s="3">
        <v>0.001884333</v>
      </c>
      <c r="D192" s="3">
        <v>0.001718374</v>
      </c>
      <c r="E192" s="2">
        <v>15.0</v>
      </c>
      <c r="F192" s="2">
        <v>65536.0</v>
      </c>
    </row>
    <row r="193" ht="22.5" customHeight="1">
      <c r="A193" s="2">
        <v>65536.0</v>
      </c>
      <c r="B193" s="2">
        <v>11.0</v>
      </c>
      <c r="C193" s="3">
        <v>0.002938597</v>
      </c>
      <c r="D193" s="3">
        <v>0.002517903</v>
      </c>
      <c r="E193" s="2">
        <v>15.0</v>
      </c>
      <c r="F193" s="2">
        <v>65536.0</v>
      </c>
    </row>
    <row r="194" ht="22.5" customHeight="1">
      <c r="A194" s="2">
        <v>65536.0</v>
      </c>
      <c r="B194" s="2">
        <v>12.0</v>
      </c>
      <c r="C194" s="3">
        <v>0.002949529</v>
      </c>
      <c r="D194" s="3">
        <v>0.002286913</v>
      </c>
      <c r="E194" s="2">
        <v>15.0</v>
      </c>
      <c r="F194" s="2">
        <v>65536.0</v>
      </c>
    </row>
    <row r="195" ht="22.5" customHeight="1">
      <c r="A195" s="2">
        <v>65536.0</v>
      </c>
      <c r="B195" s="2">
        <v>13.0</v>
      </c>
      <c r="C195" s="3">
        <v>0.00162526</v>
      </c>
      <c r="D195" s="3">
        <v>0.001709016</v>
      </c>
      <c r="E195" s="2">
        <v>15.0</v>
      </c>
      <c r="F195" s="2">
        <v>65536.0</v>
      </c>
    </row>
    <row r="196" ht="22.5" customHeight="1">
      <c r="A196" s="2">
        <v>65536.0</v>
      </c>
      <c r="B196" s="2">
        <v>14.0</v>
      </c>
      <c r="C196" s="3">
        <v>0.001634477</v>
      </c>
      <c r="D196" s="3">
        <v>0.0016577</v>
      </c>
      <c r="E196" s="2">
        <v>15.0</v>
      </c>
      <c r="F196" s="2">
        <v>65536.0</v>
      </c>
    </row>
    <row r="197" ht="22.5" customHeight="1">
      <c r="A197" s="2">
        <v>65536.0</v>
      </c>
      <c r="B197" s="2">
        <v>15.0</v>
      </c>
      <c r="C197" s="3">
        <v>0.00159854</v>
      </c>
      <c r="D197" s="3">
        <v>0.001703635</v>
      </c>
      <c r="E197" s="2">
        <v>15.0</v>
      </c>
      <c r="F197" s="2">
        <v>65536.0</v>
      </c>
    </row>
    <row r="198" ht="22.5" customHeight="1">
      <c r="A198" s="2">
        <v>65536.0</v>
      </c>
      <c r="B198" s="2">
        <v>16.0</v>
      </c>
      <c r="C198" s="3">
        <v>0.001637212</v>
      </c>
      <c r="D198" s="3">
        <v>0.00165732</v>
      </c>
      <c r="E198" s="2">
        <v>15.0</v>
      </c>
      <c r="F198" s="2">
        <v>65536.0</v>
      </c>
    </row>
    <row r="199" ht="22.5" customHeight="1">
      <c r="A199" s="2">
        <v>65536.0</v>
      </c>
      <c r="B199" s="2">
        <v>17.0</v>
      </c>
      <c r="C199" s="3">
        <v>0.00170536</v>
      </c>
      <c r="D199" s="3">
        <v>0.001772023</v>
      </c>
      <c r="E199" s="2">
        <v>15.0</v>
      </c>
      <c r="F199" s="2">
        <v>65536.0</v>
      </c>
    </row>
    <row r="200" ht="22.5" customHeight="1">
      <c r="A200" s="2">
        <v>65536.0</v>
      </c>
      <c r="B200" s="2">
        <v>18.0</v>
      </c>
      <c r="C200" s="3">
        <v>0.001611514</v>
      </c>
      <c r="D200" s="3">
        <v>0.001655766</v>
      </c>
      <c r="E200" s="2">
        <v>15.0</v>
      </c>
      <c r="F200" s="2">
        <v>65536.0</v>
      </c>
    </row>
    <row r="201" ht="22.5" customHeight="1">
      <c r="A201" s="2">
        <v>65536.0</v>
      </c>
      <c r="B201" s="2">
        <v>19.0</v>
      </c>
      <c r="C201" s="3">
        <v>0.001600423</v>
      </c>
      <c r="D201" s="3">
        <v>0.001710358</v>
      </c>
      <c r="E201" s="2">
        <v>15.0</v>
      </c>
      <c r="F201" s="2">
        <v>65536.0</v>
      </c>
    </row>
    <row r="202" ht="22.5" customHeight="1">
      <c r="A202" s="2">
        <v>65536.0</v>
      </c>
      <c r="B202" s="2">
        <v>20.0</v>
      </c>
      <c r="C202" s="3">
        <v>0.001601175</v>
      </c>
      <c r="D202" s="3">
        <v>0.001667228</v>
      </c>
      <c r="E202" s="2">
        <v>15.0</v>
      </c>
      <c r="F202" s="2">
        <v>65536.0</v>
      </c>
    </row>
    <row r="203" ht="22.5" customHeight="1">
      <c r="A203" s="2">
        <v>65536.0</v>
      </c>
      <c r="B203" s="2">
        <v>21.0</v>
      </c>
      <c r="C203" s="3">
        <v>0.001650396</v>
      </c>
      <c r="D203" s="3">
        <v>0.001704898</v>
      </c>
      <c r="E203" s="2">
        <v>15.0</v>
      </c>
      <c r="F203" s="2">
        <v>65536.0</v>
      </c>
    </row>
    <row r="204" ht="22.5" customHeight="1">
      <c r="A204" s="2">
        <v>65536.0</v>
      </c>
      <c r="B204" s="2">
        <v>22.0</v>
      </c>
      <c r="C204" s="3">
        <v>0.00186705</v>
      </c>
      <c r="D204" s="3">
        <v>0.001653592</v>
      </c>
      <c r="E204" s="2">
        <v>15.0</v>
      </c>
      <c r="F204" s="2">
        <v>65536.0</v>
      </c>
    </row>
    <row r="205" ht="22.5" customHeight="1">
      <c r="A205" s="2">
        <v>65536.0</v>
      </c>
      <c r="B205" s="2">
        <v>23.0</v>
      </c>
      <c r="C205" s="3">
        <v>0.00160419</v>
      </c>
      <c r="D205" s="3">
        <v>0.001705209</v>
      </c>
      <c r="E205" s="2">
        <v>15.0</v>
      </c>
      <c r="F205" s="2">
        <v>65536.0</v>
      </c>
    </row>
    <row r="206" ht="22.5" customHeight="1">
      <c r="A206" s="2">
        <v>65536.0</v>
      </c>
      <c r="B206" s="2">
        <v>24.0</v>
      </c>
      <c r="C206" s="3">
        <v>0.00164713</v>
      </c>
      <c r="D206" s="3">
        <v>0.001803171</v>
      </c>
      <c r="E206" s="2">
        <v>15.0</v>
      </c>
      <c r="F206" s="2">
        <v>65536.0</v>
      </c>
    </row>
    <row r="207" ht="22.5" customHeight="1">
      <c r="A207" s="2">
        <v>65536.0</v>
      </c>
      <c r="B207" s="2">
        <v>25.0</v>
      </c>
      <c r="C207" s="3">
        <v>0.001602677</v>
      </c>
      <c r="D207" s="3">
        <v>0.001723122</v>
      </c>
      <c r="E207" s="2">
        <v>15.0</v>
      </c>
      <c r="F207" s="2">
        <v>65536.0</v>
      </c>
    </row>
    <row r="208" ht="22.5" customHeight="1">
      <c r="A208" s="2">
        <v>65536.0</v>
      </c>
      <c r="B208" s="2">
        <v>26.0</v>
      </c>
      <c r="C208" s="3">
        <v>0.001634486</v>
      </c>
      <c r="D208" s="3">
        <v>0.001712442</v>
      </c>
      <c r="E208" s="2">
        <v>15.0</v>
      </c>
      <c r="F208" s="2">
        <v>65536.0</v>
      </c>
    </row>
    <row r="209" ht="22.5" customHeight="1">
      <c r="A209" s="2">
        <v>65536.0</v>
      </c>
      <c r="B209" s="2">
        <v>27.0</v>
      </c>
      <c r="C209" s="3">
        <v>0.001596456</v>
      </c>
      <c r="D209" s="3">
        <v>0.00171164</v>
      </c>
      <c r="E209" s="2">
        <v>15.0</v>
      </c>
      <c r="F209" s="2">
        <v>65536.0</v>
      </c>
    </row>
    <row r="210" ht="22.5" customHeight="1">
      <c r="A210" s="2">
        <v>65536.0</v>
      </c>
      <c r="B210" s="2">
        <v>28.0</v>
      </c>
      <c r="C210" s="3">
        <v>0.001818397</v>
      </c>
      <c r="D210" s="3">
        <v>0.002486595</v>
      </c>
      <c r="E210" s="2">
        <v>15.0</v>
      </c>
      <c r="F210" s="2">
        <v>65536.0</v>
      </c>
    </row>
    <row r="211" ht="22.5" customHeight="1">
      <c r="A211" s="2">
        <v>65536.0</v>
      </c>
      <c r="B211" s="2">
        <v>29.0</v>
      </c>
      <c r="C211" s="3">
        <v>0.001609751</v>
      </c>
      <c r="D211" s="3">
        <v>0.002142073</v>
      </c>
      <c r="E211" s="2">
        <v>15.0</v>
      </c>
      <c r="F211" s="2">
        <v>65536.0</v>
      </c>
    </row>
    <row r="212" ht="22.5" customHeight="1">
      <c r="A212" s="2">
        <v>131072.0</v>
      </c>
      <c r="B212" s="2">
        <v>0.0</v>
      </c>
      <c r="C212" s="3">
        <v>0.003355314</v>
      </c>
      <c r="D212" s="3">
        <v>0.00392173</v>
      </c>
      <c r="E212" s="2">
        <v>16.0</v>
      </c>
      <c r="F212" s="2">
        <v>131072.0</v>
      </c>
    </row>
    <row r="213" ht="22.5" customHeight="1">
      <c r="A213" s="2">
        <v>131072.0</v>
      </c>
      <c r="B213" s="2">
        <v>1.0</v>
      </c>
      <c r="C213" s="3">
        <v>0.003596822</v>
      </c>
      <c r="D213" s="3">
        <v>0.005052819</v>
      </c>
      <c r="E213" s="2">
        <v>16.0</v>
      </c>
      <c r="F213" s="2">
        <v>131072.0</v>
      </c>
    </row>
    <row r="214" ht="22.5" customHeight="1">
      <c r="A214" s="2">
        <v>131072.0</v>
      </c>
      <c r="B214" s="2">
        <v>2.0</v>
      </c>
      <c r="C214" s="3">
        <v>0.00329409</v>
      </c>
      <c r="D214" s="3">
        <v>0.004008191</v>
      </c>
      <c r="E214" s="2">
        <v>16.0</v>
      </c>
      <c r="F214" s="2">
        <v>131072.0</v>
      </c>
    </row>
    <row r="215" ht="22.5" customHeight="1">
      <c r="A215" s="2">
        <v>131072.0</v>
      </c>
      <c r="B215" s="2">
        <v>3.0</v>
      </c>
      <c r="C215" s="3">
        <v>0.003284372</v>
      </c>
      <c r="D215" s="3">
        <v>0.003940745</v>
      </c>
      <c r="E215" s="2">
        <v>16.0</v>
      </c>
      <c r="F215" s="2">
        <v>131072.0</v>
      </c>
    </row>
    <row r="216" ht="22.5" customHeight="1">
      <c r="A216" s="2">
        <v>131072.0</v>
      </c>
      <c r="B216" s="2">
        <v>4.0</v>
      </c>
      <c r="C216" s="3">
        <v>0.009470464</v>
      </c>
      <c r="D216" s="3">
        <v>0.009048837</v>
      </c>
      <c r="E216" s="2">
        <v>16.0</v>
      </c>
      <c r="F216" s="2">
        <v>131072.0</v>
      </c>
    </row>
    <row r="217" ht="22.5" customHeight="1">
      <c r="A217" s="2">
        <v>131072.0</v>
      </c>
      <c r="B217" s="2">
        <v>5.0</v>
      </c>
      <c r="C217" s="3">
        <v>0.013272641</v>
      </c>
      <c r="D217" s="3">
        <v>0.010886162</v>
      </c>
      <c r="E217" s="2">
        <v>16.0</v>
      </c>
      <c r="F217" s="2">
        <v>131072.0</v>
      </c>
    </row>
    <row r="218" ht="22.5" customHeight="1">
      <c r="A218" s="2">
        <v>131072.0</v>
      </c>
      <c r="B218" s="2">
        <v>6.0</v>
      </c>
      <c r="C218" s="3">
        <v>0.00950076</v>
      </c>
      <c r="D218" s="3">
        <v>0.008524911</v>
      </c>
      <c r="E218" s="2">
        <v>16.0</v>
      </c>
      <c r="F218" s="2">
        <v>131072.0</v>
      </c>
    </row>
    <row r="219" ht="22.5" customHeight="1">
      <c r="A219" s="2">
        <v>131072.0</v>
      </c>
      <c r="B219" s="2">
        <v>7.0</v>
      </c>
      <c r="C219" s="3">
        <v>0.010506687</v>
      </c>
      <c r="D219" s="3">
        <v>0.010279352</v>
      </c>
      <c r="E219" s="2">
        <v>16.0</v>
      </c>
      <c r="F219" s="2">
        <v>131072.0</v>
      </c>
    </row>
    <row r="220" ht="22.5" customHeight="1">
      <c r="A220" s="2">
        <v>131072.0</v>
      </c>
      <c r="B220" s="2">
        <v>8.0</v>
      </c>
      <c r="C220" s="3">
        <v>0.009522088</v>
      </c>
      <c r="D220" s="3">
        <v>0.011811348</v>
      </c>
      <c r="E220" s="2">
        <v>16.0</v>
      </c>
      <c r="F220" s="2">
        <v>131072.0</v>
      </c>
    </row>
    <row r="221" ht="22.5" customHeight="1">
      <c r="A221" s="2">
        <v>131072.0</v>
      </c>
      <c r="B221" s="2">
        <v>9.0</v>
      </c>
      <c r="C221" s="3">
        <v>0.009627228</v>
      </c>
      <c r="D221" s="3">
        <v>0.008686752</v>
      </c>
      <c r="E221" s="2">
        <v>16.0</v>
      </c>
      <c r="F221" s="2">
        <v>131072.0</v>
      </c>
    </row>
    <row r="222" ht="22.5" customHeight="1">
      <c r="A222" s="2">
        <v>131072.0</v>
      </c>
      <c r="B222" s="2">
        <v>10.0</v>
      </c>
      <c r="C222" s="3">
        <v>0.014427673</v>
      </c>
      <c r="D222" s="3">
        <v>0.012372903</v>
      </c>
      <c r="E222" s="2">
        <v>16.0</v>
      </c>
      <c r="F222" s="2">
        <v>131072.0</v>
      </c>
    </row>
    <row r="223" ht="22.5" customHeight="1">
      <c r="A223" s="2">
        <v>131072.0</v>
      </c>
      <c r="B223" s="2">
        <v>11.0</v>
      </c>
      <c r="C223" s="3">
        <v>0.009712715</v>
      </c>
      <c r="D223" s="3">
        <v>0.008693536</v>
      </c>
      <c r="E223" s="2">
        <v>16.0</v>
      </c>
      <c r="F223" s="2">
        <v>131072.0</v>
      </c>
    </row>
    <row r="224" ht="22.5" customHeight="1">
      <c r="A224" s="2">
        <v>131072.0</v>
      </c>
      <c r="B224" s="2">
        <v>12.0</v>
      </c>
      <c r="C224" s="3">
        <v>0.010420063</v>
      </c>
      <c r="D224" s="3">
        <v>0.010198571</v>
      </c>
      <c r="E224" s="2">
        <v>16.0</v>
      </c>
      <c r="F224" s="2">
        <v>131072.0</v>
      </c>
    </row>
    <row r="225" ht="22.5" customHeight="1">
      <c r="A225" s="2">
        <v>131072.0</v>
      </c>
      <c r="B225" s="2">
        <v>13.0</v>
      </c>
      <c r="C225" s="3">
        <v>0.010896201</v>
      </c>
      <c r="D225" s="3">
        <v>0.009141251</v>
      </c>
      <c r="E225" s="2">
        <v>16.0</v>
      </c>
      <c r="F225" s="2">
        <v>131072.0</v>
      </c>
    </row>
    <row r="226" ht="22.5" customHeight="1">
      <c r="A226" s="2">
        <v>131072.0</v>
      </c>
      <c r="B226" s="2">
        <v>14.0</v>
      </c>
      <c r="C226" s="3">
        <v>0.010954339</v>
      </c>
      <c r="D226" s="3">
        <v>0.009530405</v>
      </c>
      <c r="E226" s="2">
        <v>16.0</v>
      </c>
      <c r="F226" s="2">
        <v>131072.0</v>
      </c>
    </row>
    <row r="227" ht="22.5" customHeight="1">
      <c r="A227" s="2">
        <v>131072.0</v>
      </c>
      <c r="B227" s="2">
        <v>15.0</v>
      </c>
      <c r="C227" s="3">
        <v>0.011732646</v>
      </c>
      <c r="D227" s="3">
        <v>0.012221358</v>
      </c>
      <c r="E227" s="2">
        <v>16.0</v>
      </c>
      <c r="F227" s="2">
        <v>131072.0</v>
      </c>
    </row>
    <row r="228" ht="22.5" customHeight="1">
      <c r="A228" s="2">
        <v>131072.0</v>
      </c>
      <c r="B228" s="2">
        <v>16.0</v>
      </c>
      <c r="C228" s="3">
        <v>0.005469683</v>
      </c>
      <c r="D228" s="3">
        <v>0.004785129</v>
      </c>
      <c r="E228" s="2">
        <v>16.0</v>
      </c>
      <c r="F228" s="2">
        <v>131072.0</v>
      </c>
    </row>
    <row r="229" ht="22.5" customHeight="1">
      <c r="A229" s="2">
        <v>131072.0</v>
      </c>
      <c r="B229" s="2">
        <v>17.0</v>
      </c>
      <c r="C229" s="3">
        <v>0.003231183</v>
      </c>
      <c r="D229" s="3">
        <v>0.004219205</v>
      </c>
      <c r="E229" s="2">
        <v>16.0</v>
      </c>
      <c r="F229" s="2">
        <v>131072.0</v>
      </c>
    </row>
    <row r="230" ht="22.5" customHeight="1">
      <c r="A230" s="2">
        <v>131072.0</v>
      </c>
      <c r="B230" s="2">
        <v>18.0</v>
      </c>
      <c r="C230" s="3">
        <v>0.003333384</v>
      </c>
      <c r="D230" s="3">
        <v>0.003856289</v>
      </c>
      <c r="E230" s="2">
        <v>16.0</v>
      </c>
      <c r="F230" s="2">
        <v>131072.0</v>
      </c>
    </row>
    <row r="231" ht="22.5" customHeight="1">
      <c r="A231" s="2">
        <v>131072.0</v>
      </c>
      <c r="B231" s="2">
        <v>19.0</v>
      </c>
      <c r="C231" s="3">
        <v>0.00352451</v>
      </c>
      <c r="D231" s="3">
        <v>0.003844897</v>
      </c>
      <c r="E231" s="2">
        <v>16.0</v>
      </c>
      <c r="F231" s="2">
        <v>131072.0</v>
      </c>
    </row>
    <row r="232" ht="22.5" customHeight="1">
      <c r="A232" s="2">
        <v>131072.0</v>
      </c>
      <c r="B232" s="2">
        <v>20.0</v>
      </c>
      <c r="C232" s="3">
        <v>0.003971964</v>
      </c>
      <c r="D232" s="3">
        <v>0.004129368</v>
      </c>
      <c r="E232" s="2">
        <v>16.0</v>
      </c>
      <c r="F232" s="2">
        <v>131072.0</v>
      </c>
    </row>
    <row r="233" ht="22.5" customHeight="1">
      <c r="A233" s="2">
        <v>131072.0</v>
      </c>
      <c r="B233" s="2">
        <v>21.0</v>
      </c>
      <c r="C233" s="3">
        <v>0.003211717</v>
      </c>
      <c r="D233" s="3">
        <v>0.003987222</v>
      </c>
      <c r="E233" s="2">
        <v>16.0</v>
      </c>
      <c r="F233" s="2">
        <v>131072.0</v>
      </c>
    </row>
    <row r="234" ht="22.5" customHeight="1">
      <c r="A234" s="2">
        <v>131072.0</v>
      </c>
      <c r="B234" s="2">
        <v>22.0</v>
      </c>
      <c r="C234" s="3">
        <v>0.00328318</v>
      </c>
      <c r="D234" s="3">
        <v>0.0039271</v>
      </c>
      <c r="E234" s="2">
        <v>16.0</v>
      </c>
      <c r="F234" s="2">
        <v>131072.0</v>
      </c>
    </row>
    <row r="235" ht="22.5" customHeight="1">
      <c r="A235" s="2">
        <v>131072.0</v>
      </c>
      <c r="B235" s="2">
        <v>23.0</v>
      </c>
      <c r="C235" s="3">
        <v>0.004042936</v>
      </c>
      <c r="D235" s="3">
        <v>0.003946677</v>
      </c>
      <c r="E235" s="2">
        <v>16.0</v>
      </c>
      <c r="F235" s="2">
        <v>131072.0</v>
      </c>
    </row>
    <row r="236" ht="22.5" customHeight="1">
      <c r="A236" s="2">
        <v>131072.0</v>
      </c>
      <c r="B236" s="2">
        <v>24.0</v>
      </c>
      <c r="C236" s="3">
        <v>0.003388887</v>
      </c>
      <c r="D236" s="3">
        <v>0.0048296</v>
      </c>
      <c r="E236" s="2">
        <v>16.0</v>
      </c>
      <c r="F236" s="2">
        <v>131072.0</v>
      </c>
    </row>
    <row r="237" ht="22.5" customHeight="1">
      <c r="A237" s="2">
        <v>131072.0</v>
      </c>
      <c r="B237" s="2">
        <v>25.0</v>
      </c>
      <c r="C237" s="3">
        <v>0.003228008</v>
      </c>
      <c r="D237" s="3">
        <v>0.004201822</v>
      </c>
      <c r="E237" s="2">
        <v>16.0</v>
      </c>
      <c r="F237" s="2">
        <v>131072.0</v>
      </c>
    </row>
    <row r="238" ht="22.5" customHeight="1">
      <c r="A238" s="2">
        <v>131072.0</v>
      </c>
      <c r="B238" s="2">
        <v>26.0</v>
      </c>
      <c r="C238" s="3">
        <v>0.003332241</v>
      </c>
      <c r="D238" s="3">
        <v>0.003860166</v>
      </c>
      <c r="E238" s="2">
        <v>16.0</v>
      </c>
      <c r="F238" s="2">
        <v>131072.0</v>
      </c>
    </row>
    <row r="239" ht="22.5" customHeight="1">
      <c r="A239" s="2">
        <v>131072.0</v>
      </c>
      <c r="B239" s="2">
        <v>27.0</v>
      </c>
      <c r="C239" s="3">
        <v>0.003189245</v>
      </c>
      <c r="D239" s="3">
        <v>0.004080927</v>
      </c>
      <c r="E239" s="2">
        <v>16.0</v>
      </c>
      <c r="F239" s="2">
        <v>131072.0</v>
      </c>
    </row>
    <row r="240" ht="22.5" customHeight="1">
      <c r="A240" s="2">
        <v>131072.0</v>
      </c>
      <c r="B240" s="2">
        <v>28.0</v>
      </c>
      <c r="C240" s="3">
        <v>0.003274344</v>
      </c>
      <c r="D240" s="3">
        <v>0.003783603</v>
      </c>
      <c r="E240" s="2">
        <v>16.0</v>
      </c>
      <c r="F240" s="2">
        <v>131072.0</v>
      </c>
    </row>
    <row r="241" ht="22.5" customHeight="1">
      <c r="A241" s="2">
        <v>131072.0</v>
      </c>
      <c r="B241" s="2">
        <v>29.0</v>
      </c>
      <c r="C241" s="3">
        <v>0.003343483</v>
      </c>
      <c r="D241" s="3">
        <v>0.003903677</v>
      </c>
      <c r="E241" s="2">
        <v>16.0</v>
      </c>
      <c r="F241" s="2">
        <v>131072.0</v>
      </c>
    </row>
    <row r="242" ht="22.5" customHeight="1">
      <c r="A242" s="2">
        <v>262144.0</v>
      </c>
      <c r="B242" s="2">
        <v>0.0</v>
      </c>
      <c r="C242" s="3">
        <v>0.009287333</v>
      </c>
      <c r="D242" s="3">
        <v>0.008222447</v>
      </c>
      <c r="E242" s="2">
        <v>17.0</v>
      </c>
      <c r="F242" s="2">
        <v>262144.0</v>
      </c>
    </row>
    <row r="243" ht="22.5" customHeight="1">
      <c r="A243" s="2">
        <v>262144.0</v>
      </c>
      <c r="B243" s="2">
        <v>1.0</v>
      </c>
      <c r="C243" s="3">
        <v>0.007548621</v>
      </c>
      <c r="D243" s="3">
        <v>0.008175139</v>
      </c>
      <c r="E243" s="2">
        <v>17.0</v>
      </c>
      <c r="F243" s="2">
        <v>262144.0</v>
      </c>
    </row>
    <row r="244" ht="22.5" customHeight="1">
      <c r="A244" s="2">
        <v>262144.0</v>
      </c>
      <c r="B244" s="2">
        <v>2.0</v>
      </c>
      <c r="C244" s="3">
        <v>0.007613543</v>
      </c>
      <c r="D244" s="3">
        <v>0.00815938</v>
      </c>
      <c r="E244" s="2">
        <v>17.0</v>
      </c>
      <c r="F244" s="2">
        <v>262144.0</v>
      </c>
    </row>
    <row r="245" ht="22.5" customHeight="1">
      <c r="A245" s="2">
        <v>262144.0</v>
      </c>
      <c r="B245" s="2">
        <v>3.0</v>
      </c>
      <c r="C245" s="3">
        <v>0.007340583</v>
      </c>
      <c r="D245" s="3">
        <v>0.008353262</v>
      </c>
      <c r="E245" s="2">
        <v>17.0</v>
      </c>
      <c r="F245" s="2">
        <v>262144.0</v>
      </c>
    </row>
    <row r="246" ht="22.5" customHeight="1">
      <c r="A246" s="2">
        <v>262144.0</v>
      </c>
      <c r="B246" s="2">
        <v>4.0</v>
      </c>
      <c r="C246" s="3">
        <v>0.007180136</v>
      </c>
      <c r="D246" s="3">
        <v>0.007644682</v>
      </c>
      <c r="E246" s="2">
        <v>17.0</v>
      </c>
      <c r="F246" s="2">
        <v>262144.0</v>
      </c>
    </row>
    <row r="247" ht="22.5" customHeight="1">
      <c r="A247" s="2">
        <v>262144.0</v>
      </c>
      <c r="B247" s="2">
        <v>5.0</v>
      </c>
      <c r="C247" s="3">
        <v>0.006670324</v>
      </c>
      <c r="D247" s="3">
        <v>0.00746727</v>
      </c>
      <c r="E247" s="2">
        <v>17.0</v>
      </c>
      <c r="F247" s="2">
        <v>262144.0</v>
      </c>
    </row>
    <row r="248" ht="22.5" customHeight="1">
      <c r="A248" s="2">
        <v>262144.0</v>
      </c>
      <c r="B248" s="2">
        <v>6.0</v>
      </c>
      <c r="C248" s="3">
        <v>0.007088885</v>
      </c>
      <c r="D248" s="3">
        <v>0.007645832</v>
      </c>
      <c r="E248" s="2">
        <v>17.0</v>
      </c>
      <c r="F248" s="2">
        <v>262144.0</v>
      </c>
    </row>
    <row r="249" ht="22.5" customHeight="1">
      <c r="A249" s="2">
        <v>262144.0</v>
      </c>
      <c r="B249" s="2">
        <v>7.0</v>
      </c>
      <c r="C249" s="3">
        <v>0.006674802</v>
      </c>
      <c r="D249" s="3">
        <v>0.007579208</v>
      </c>
      <c r="E249" s="2">
        <v>17.0</v>
      </c>
      <c r="F249" s="2">
        <v>262144.0</v>
      </c>
    </row>
    <row r="250" ht="22.5" customHeight="1">
      <c r="A250" s="2">
        <v>262144.0</v>
      </c>
      <c r="B250" s="2">
        <v>8.0</v>
      </c>
      <c r="C250" s="3">
        <v>0.006808062</v>
      </c>
      <c r="D250" s="3">
        <v>0.008610582</v>
      </c>
      <c r="E250" s="2">
        <v>17.0</v>
      </c>
      <c r="F250" s="2">
        <v>262144.0</v>
      </c>
    </row>
    <row r="251" ht="22.5" customHeight="1">
      <c r="A251" s="2">
        <v>262144.0</v>
      </c>
      <c r="B251" s="2">
        <v>9.0</v>
      </c>
      <c r="C251" s="3">
        <v>0.018359149</v>
      </c>
      <c r="D251" s="3">
        <v>0.007473581</v>
      </c>
      <c r="E251" s="2">
        <v>17.0</v>
      </c>
      <c r="F251" s="2">
        <v>262144.0</v>
      </c>
    </row>
    <row r="252" ht="22.5" customHeight="1">
      <c r="A252" s="2">
        <v>262144.0</v>
      </c>
      <c r="B252" s="2">
        <v>10.0</v>
      </c>
      <c r="C252" s="3">
        <v>0.02255249</v>
      </c>
      <c r="D252" s="3">
        <v>0.017140883</v>
      </c>
      <c r="E252" s="2">
        <v>17.0</v>
      </c>
      <c r="F252" s="2">
        <v>262144.0</v>
      </c>
    </row>
    <row r="253" ht="22.5" customHeight="1">
      <c r="A253" s="2">
        <v>262144.0</v>
      </c>
      <c r="B253" s="2">
        <v>11.0</v>
      </c>
      <c r="C253" s="3">
        <v>0.027344746</v>
      </c>
      <c r="D253" s="3">
        <v>0.019540589</v>
      </c>
      <c r="E253" s="2">
        <v>17.0</v>
      </c>
      <c r="F253" s="2">
        <v>262144.0</v>
      </c>
    </row>
    <row r="254" ht="22.5" customHeight="1">
      <c r="A254" s="2">
        <v>262144.0</v>
      </c>
      <c r="B254" s="2">
        <v>12.0</v>
      </c>
      <c r="C254" s="3">
        <v>0.023692505</v>
      </c>
      <c r="D254" s="3">
        <v>0.017144359</v>
      </c>
      <c r="E254" s="2">
        <v>17.0</v>
      </c>
      <c r="F254" s="2">
        <v>262144.0</v>
      </c>
    </row>
    <row r="255" ht="22.5" customHeight="1">
      <c r="A255" s="2">
        <v>262144.0</v>
      </c>
      <c r="B255" s="2">
        <v>13.0</v>
      </c>
      <c r="C255" s="3">
        <v>0.028242796</v>
      </c>
      <c r="D255" s="3">
        <v>0.017593185</v>
      </c>
      <c r="E255" s="2">
        <v>17.0</v>
      </c>
      <c r="F255" s="2">
        <v>262144.0</v>
      </c>
    </row>
    <row r="256" ht="22.5" customHeight="1">
      <c r="A256" s="2">
        <v>262144.0</v>
      </c>
      <c r="B256" s="2">
        <v>14.0</v>
      </c>
      <c r="C256" s="3">
        <v>0.02760717</v>
      </c>
      <c r="D256" s="3">
        <v>0.021647523</v>
      </c>
      <c r="E256" s="2">
        <v>17.0</v>
      </c>
      <c r="F256" s="2">
        <v>262144.0</v>
      </c>
    </row>
    <row r="257" ht="22.5" customHeight="1">
      <c r="A257" s="2">
        <v>262144.0</v>
      </c>
      <c r="B257" s="2">
        <v>15.0</v>
      </c>
      <c r="C257" s="3">
        <v>0.020286326</v>
      </c>
      <c r="D257" s="3">
        <v>0.019578859</v>
      </c>
      <c r="E257" s="2">
        <v>17.0</v>
      </c>
      <c r="F257" s="2">
        <v>262144.0</v>
      </c>
    </row>
    <row r="258" ht="22.5" customHeight="1">
      <c r="A258" s="2">
        <v>262144.0</v>
      </c>
      <c r="B258" s="2">
        <v>16.0</v>
      </c>
      <c r="C258" s="3">
        <v>0.028207483</v>
      </c>
      <c r="D258" s="3">
        <v>0.020548274</v>
      </c>
      <c r="E258" s="2">
        <v>17.0</v>
      </c>
      <c r="F258" s="2">
        <v>262144.0</v>
      </c>
    </row>
    <row r="259" ht="22.5" customHeight="1">
      <c r="A259" s="2">
        <v>262144.0</v>
      </c>
      <c r="B259" s="2">
        <v>17.0</v>
      </c>
      <c r="C259" s="3">
        <v>0.020673848</v>
      </c>
      <c r="D259" s="3">
        <v>0.017015458</v>
      </c>
      <c r="E259" s="2">
        <v>17.0</v>
      </c>
      <c r="F259" s="2">
        <v>262144.0</v>
      </c>
    </row>
    <row r="260" ht="22.5" customHeight="1">
      <c r="A260" s="2">
        <v>262144.0</v>
      </c>
      <c r="B260" s="2">
        <v>18.0</v>
      </c>
      <c r="C260" s="3">
        <v>0.029146972</v>
      </c>
      <c r="D260" s="3">
        <v>0.023013453</v>
      </c>
      <c r="E260" s="2">
        <v>17.0</v>
      </c>
      <c r="F260" s="2">
        <v>262144.0</v>
      </c>
    </row>
    <row r="261" ht="22.5" customHeight="1">
      <c r="A261" s="2">
        <v>262144.0</v>
      </c>
      <c r="B261" s="2">
        <v>19.0</v>
      </c>
      <c r="C261" s="3">
        <v>0.02344817</v>
      </c>
      <c r="D261" s="3">
        <v>0.017616209</v>
      </c>
      <c r="E261" s="2">
        <v>17.0</v>
      </c>
      <c r="F261" s="2">
        <v>262144.0</v>
      </c>
    </row>
    <row r="262" ht="22.5" customHeight="1">
      <c r="A262" s="2">
        <v>262144.0</v>
      </c>
      <c r="B262" s="2">
        <v>20.0</v>
      </c>
      <c r="C262" s="3">
        <v>0.010737806</v>
      </c>
      <c r="D262" s="3">
        <v>0.007687349</v>
      </c>
      <c r="E262" s="2">
        <v>17.0</v>
      </c>
      <c r="F262" s="2">
        <v>262144.0</v>
      </c>
    </row>
    <row r="263" ht="22.5" customHeight="1">
      <c r="A263" s="2">
        <v>262144.0</v>
      </c>
      <c r="B263" s="2">
        <v>21.0</v>
      </c>
      <c r="C263" s="3">
        <v>0.007101698</v>
      </c>
      <c r="D263" s="3">
        <v>0.007987079</v>
      </c>
      <c r="E263" s="2">
        <v>17.0</v>
      </c>
      <c r="F263" s="2">
        <v>262144.0</v>
      </c>
    </row>
    <row r="264" ht="22.5" customHeight="1">
      <c r="A264" s="2">
        <v>262144.0</v>
      </c>
      <c r="B264" s="2">
        <v>22.0</v>
      </c>
      <c r="C264" s="3">
        <v>0.008639118</v>
      </c>
      <c r="D264" s="3">
        <v>0.007547851</v>
      </c>
      <c r="E264" s="2">
        <v>17.0</v>
      </c>
      <c r="F264" s="2">
        <v>262144.0</v>
      </c>
    </row>
    <row r="265" ht="22.5" customHeight="1">
      <c r="A265" s="2">
        <v>262144.0</v>
      </c>
      <c r="B265" s="2">
        <v>23.0</v>
      </c>
      <c r="C265" s="3">
        <v>0.006822177</v>
      </c>
      <c r="D265" s="3">
        <v>0.007653629</v>
      </c>
      <c r="E265" s="2">
        <v>17.0</v>
      </c>
      <c r="F265" s="2">
        <v>262144.0</v>
      </c>
    </row>
    <row r="266" ht="22.5" customHeight="1">
      <c r="A266" s="2">
        <v>262144.0</v>
      </c>
      <c r="B266" s="2">
        <v>24.0</v>
      </c>
      <c r="C266" s="3">
        <v>0.006836055</v>
      </c>
      <c r="D266" s="3">
        <v>0.008841864</v>
      </c>
      <c r="E266" s="2">
        <v>17.0</v>
      </c>
      <c r="F266" s="2">
        <v>262144.0</v>
      </c>
    </row>
    <row r="267" ht="22.5" customHeight="1">
      <c r="A267" s="2">
        <v>262144.0</v>
      </c>
      <c r="B267" s="2">
        <v>25.0</v>
      </c>
      <c r="C267" s="3">
        <v>0.006847466</v>
      </c>
      <c r="D267" s="3">
        <v>0.007915906</v>
      </c>
      <c r="E267" s="2">
        <v>17.0</v>
      </c>
      <c r="F267" s="2">
        <v>262144.0</v>
      </c>
    </row>
    <row r="268" ht="22.5" customHeight="1">
      <c r="A268" s="2">
        <v>262144.0</v>
      </c>
      <c r="B268" s="2">
        <v>26.0</v>
      </c>
      <c r="C268" s="3">
        <v>0.006840171</v>
      </c>
      <c r="D268" s="3">
        <v>0.007512293</v>
      </c>
      <c r="E268" s="2">
        <v>17.0</v>
      </c>
      <c r="F268" s="2">
        <v>262144.0</v>
      </c>
    </row>
    <row r="269" ht="22.5" customHeight="1">
      <c r="A269" s="2">
        <v>262144.0</v>
      </c>
      <c r="B269" s="2">
        <v>27.0</v>
      </c>
      <c r="C269" s="3">
        <v>0.00852969</v>
      </c>
      <c r="D269" s="3">
        <v>0.011956654</v>
      </c>
      <c r="E269" s="2">
        <v>17.0</v>
      </c>
      <c r="F269" s="2">
        <v>262144.0</v>
      </c>
    </row>
    <row r="270" ht="22.5" customHeight="1">
      <c r="A270" s="2">
        <v>262144.0</v>
      </c>
      <c r="B270" s="2">
        <v>28.0</v>
      </c>
      <c r="C270" s="3">
        <v>0.006757467</v>
      </c>
      <c r="D270" s="3">
        <v>0.00782178</v>
      </c>
      <c r="E270" s="2">
        <v>17.0</v>
      </c>
      <c r="F270" s="2">
        <v>262144.0</v>
      </c>
    </row>
    <row r="271" ht="22.5" customHeight="1">
      <c r="A271" s="2">
        <v>262144.0</v>
      </c>
      <c r="B271" s="2">
        <v>29.0</v>
      </c>
      <c r="C271" s="3">
        <v>0.011756425</v>
      </c>
      <c r="D271" s="3">
        <v>0.010596482</v>
      </c>
      <c r="E271" s="2">
        <v>17.0</v>
      </c>
      <c r="F271" s="2">
        <v>262144.0</v>
      </c>
    </row>
  </sheetData>
  <dataValidations>
    <dataValidation type="custom" allowBlank="1" showDropDown="1" sqref="C2:D271">
      <formula1>AND(ISNUMBER(C2),(NOT(OR(NOT(ISERROR(DATEVALUE(C2))), AND(ISNUMBER(C2), LEFT(CELL("format", C2))="D")))))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88"/>
    <col customWidth="1" min="4" max="4" width="16.0"/>
    <col customWidth="1" min="5" max="5" width="14.63"/>
    <col customWidth="1" min="6" max="6" width="21.63"/>
    <col customWidth="1" min="7" max="7" width="19.13"/>
    <col customWidth="1" min="9" max="12" width="13.5"/>
    <col customWidth="1" min="13" max="13" width="20.88"/>
    <col customWidth="1" min="14" max="14" width="24.13"/>
    <col customWidth="1" min="15" max="17" width="13.5"/>
    <col customWidth="1" min="18" max="21" width="14.38"/>
  </cols>
  <sheetData>
    <row r="1" ht="22.5" customHeight="1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4</v>
      </c>
      <c r="G1" s="1" t="s">
        <v>5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ht="22.5" customHeight="1">
      <c r="A2" s="2">
        <v>1024.0</v>
      </c>
      <c r="B2" s="2">
        <v>0.0</v>
      </c>
      <c r="C2" s="2">
        <v>1024.0</v>
      </c>
      <c r="D2" s="3">
        <v>9.06289E-4</v>
      </c>
      <c r="E2" s="3">
        <v>9.00528E-4</v>
      </c>
      <c r="F2" s="2">
        <v>8.0</v>
      </c>
      <c r="G2" s="2">
        <v>512.0</v>
      </c>
      <c r="O2" s="7"/>
      <c r="P2" s="7"/>
      <c r="Q2" s="7"/>
      <c r="R2" s="7"/>
      <c r="S2" s="7"/>
      <c r="T2" s="7"/>
      <c r="U2" s="7"/>
    </row>
    <row r="3" ht="22.5" customHeight="1">
      <c r="A3" s="2">
        <v>1024.0</v>
      </c>
      <c r="B3" s="2">
        <v>1.0</v>
      </c>
      <c r="C3" s="2">
        <v>1025.0</v>
      </c>
      <c r="D3" s="3">
        <v>9.39061E-4</v>
      </c>
      <c r="E3" s="3">
        <v>8.99567E-4</v>
      </c>
      <c r="F3" s="2">
        <v>8.0</v>
      </c>
      <c r="G3" s="2">
        <v>512.0</v>
      </c>
      <c r="I3" s="1" t="s">
        <v>0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7"/>
      <c r="P3" s="7"/>
      <c r="Q3" s="7"/>
      <c r="R3" s="7"/>
      <c r="S3" s="7"/>
      <c r="T3" s="7"/>
      <c r="U3" s="7"/>
    </row>
    <row r="4" ht="22.5" customHeight="1">
      <c r="A4" s="2">
        <v>1024.0</v>
      </c>
      <c r="B4" s="2">
        <v>2.0</v>
      </c>
      <c r="C4" s="2">
        <v>1026.0</v>
      </c>
      <c r="D4" s="3">
        <v>8.33144E-4</v>
      </c>
      <c r="E4" s="3">
        <v>8.73258E-4</v>
      </c>
      <c r="F4" s="2">
        <v>8.0</v>
      </c>
      <c r="G4" s="2">
        <v>512.0</v>
      </c>
      <c r="I4" s="8">
        <v>1024.0</v>
      </c>
      <c r="J4" s="9">
        <f>min(D2:D31)</f>
        <v>0.000168263</v>
      </c>
      <c r="K4" s="9">
        <f>max(D2:D31)</f>
        <v>0.000939061</v>
      </c>
      <c r="L4" s="9">
        <f>AVERAGE(D2:D31)</f>
        <v>0.0004444922</v>
      </c>
      <c r="M4" s="9">
        <f>STDEV(D2:D31)</f>
        <v>0.0003186986227</v>
      </c>
      <c r="N4" s="9">
        <f t="shared" ref="N4:N12" si="1">M4/L4</f>
        <v>0.7169948599</v>
      </c>
      <c r="O4" s="7"/>
      <c r="P4" s="7"/>
      <c r="Q4" s="7"/>
      <c r="R4" s="7"/>
      <c r="S4" s="7"/>
      <c r="T4" s="7"/>
      <c r="U4" s="7"/>
    </row>
    <row r="5" ht="22.5" customHeight="1">
      <c r="A5" s="2">
        <v>1024.0</v>
      </c>
      <c r="B5" s="2">
        <v>3.0</v>
      </c>
      <c r="C5" s="2">
        <v>1027.0</v>
      </c>
      <c r="D5" s="3">
        <v>8.59923E-4</v>
      </c>
      <c r="E5" s="3">
        <v>9.11218E-4</v>
      </c>
      <c r="F5" s="2">
        <v>8.0</v>
      </c>
      <c r="G5" s="2">
        <v>512.0</v>
      </c>
      <c r="I5" s="8">
        <v>2048.0</v>
      </c>
      <c r="J5" s="9">
        <f>min(D32:D61)</f>
        <v>0.000364029</v>
      </c>
      <c r="K5" s="9">
        <f>max(D32:D61)</f>
        <v>0.000594929</v>
      </c>
      <c r="L5" s="9">
        <f>AVERAGE(D32:D61)</f>
        <v>0.0004580424</v>
      </c>
      <c r="M5" s="9">
        <f>STDEV(D32:D61)</f>
        <v>0.0000668255212</v>
      </c>
      <c r="N5" s="9">
        <f t="shared" si="1"/>
        <v>0.1458937452</v>
      </c>
      <c r="O5" s="7"/>
      <c r="P5" s="7"/>
      <c r="Q5" s="7"/>
      <c r="R5" s="7"/>
      <c r="S5" s="7"/>
      <c r="T5" s="7"/>
      <c r="U5" s="7"/>
    </row>
    <row r="6" ht="22.5" customHeight="1">
      <c r="A6" s="2">
        <v>1024.0</v>
      </c>
      <c r="B6" s="2">
        <v>4.0</v>
      </c>
      <c r="C6" s="2">
        <v>1028.0</v>
      </c>
      <c r="D6" s="3">
        <v>8.73878E-4</v>
      </c>
      <c r="E6" s="3">
        <v>8.75882E-4</v>
      </c>
      <c r="F6" s="2">
        <v>8.0</v>
      </c>
      <c r="G6" s="2">
        <v>512.0</v>
      </c>
      <c r="I6" s="8">
        <v>4096.0</v>
      </c>
      <c r="J6" s="9">
        <f>min(D62:D91)</f>
        <v>0.000481909</v>
      </c>
      <c r="K6" s="9">
        <f>MAX(D62:D91)</f>
        <v>0.001221748</v>
      </c>
      <c r="L6" s="9">
        <f>AVERAGE(D62:D91)</f>
        <v>0.0006833893667</v>
      </c>
      <c r="M6" s="9">
        <f>STDEV(D62:D91)</f>
        <v>0.0001918063644</v>
      </c>
      <c r="N6" s="9">
        <f t="shared" si="1"/>
        <v>0.2806692257</v>
      </c>
      <c r="O6" s="7"/>
      <c r="P6" s="7"/>
      <c r="Q6" s="7"/>
      <c r="R6" s="7"/>
      <c r="S6" s="7"/>
      <c r="T6" s="7"/>
      <c r="U6" s="7"/>
    </row>
    <row r="7" ht="22.5" customHeight="1">
      <c r="A7" s="2">
        <v>1024.0</v>
      </c>
      <c r="B7" s="2">
        <v>5.0</v>
      </c>
      <c r="C7" s="2">
        <v>1029.0</v>
      </c>
      <c r="D7" s="3">
        <v>8.18255E-4</v>
      </c>
      <c r="E7" s="3">
        <v>8.11543E-4</v>
      </c>
      <c r="F7" s="2">
        <v>8.0</v>
      </c>
      <c r="G7" s="2">
        <v>512.0</v>
      </c>
      <c r="I7" s="8">
        <v>8192.0</v>
      </c>
      <c r="J7" s="9">
        <f>min(D92:D121)</f>
        <v>0.000604497</v>
      </c>
      <c r="K7" s="9">
        <f>max(D92:D121)</f>
        <v>0.000970068</v>
      </c>
      <c r="L7" s="9">
        <f>AVERAGE(D92:D121)</f>
        <v>0.0008162727</v>
      </c>
      <c r="M7" s="9">
        <f>STDEV(D92:D121)</f>
        <v>0.00007245388975</v>
      </c>
      <c r="N7" s="9">
        <f t="shared" si="1"/>
        <v>0.08876186812</v>
      </c>
      <c r="O7" s="7"/>
      <c r="P7" s="7"/>
      <c r="Q7" s="7"/>
      <c r="R7" s="7"/>
      <c r="S7" s="7"/>
      <c r="T7" s="7"/>
      <c r="U7" s="7"/>
    </row>
    <row r="8" ht="22.5" customHeight="1">
      <c r="A8" s="2">
        <v>1024.0</v>
      </c>
      <c r="B8" s="2">
        <v>6.0</v>
      </c>
      <c r="C8" s="2">
        <v>1030.0</v>
      </c>
      <c r="D8" s="3">
        <v>7.5658E-4</v>
      </c>
      <c r="E8" s="3">
        <v>9.06761E-4</v>
      </c>
      <c r="F8" s="2">
        <v>8.0</v>
      </c>
      <c r="G8" s="2">
        <v>512.0</v>
      </c>
      <c r="I8" s="8">
        <v>16384.0</v>
      </c>
      <c r="J8" s="9">
        <f>min(D122:D151)</f>
        <v>0.001259648</v>
      </c>
      <c r="K8" s="9">
        <f>max(D122:D151)</f>
        <v>0.002198619</v>
      </c>
      <c r="L8" s="9">
        <f>AVERAGE(D122:D151)</f>
        <v>0.0015358348</v>
      </c>
      <c r="M8" s="9">
        <f>STDEV(D122:D151)</f>
        <v>0.0002759825397</v>
      </c>
      <c r="N8" s="9">
        <f t="shared" si="1"/>
        <v>0.1796954592</v>
      </c>
      <c r="O8" s="7"/>
      <c r="P8" s="7"/>
      <c r="Q8" s="7"/>
      <c r="R8" s="7"/>
      <c r="S8" s="7"/>
      <c r="T8" s="7"/>
      <c r="U8" s="7"/>
    </row>
    <row r="9" ht="22.5" customHeight="1">
      <c r="A9" s="2">
        <v>1024.0</v>
      </c>
      <c r="B9" s="2">
        <v>7.0</v>
      </c>
      <c r="C9" s="2">
        <v>1031.0</v>
      </c>
      <c r="D9" s="3">
        <v>8.36099E-4</v>
      </c>
      <c r="E9" s="3">
        <v>8.69441E-4</v>
      </c>
      <c r="F9" s="2">
        <v>8.0</v>
      </c>
      <c r="G9" s="2">
        <v>512.0</v>
      </c>
      <c r="I9" s="8">
        <v>32768.0</v>
      </c>
      <c r="J9" s="9">
        <f>min(D152:D181)</f>
        <v>0.002693591</v>
      </c>
      <c r="K9" s="9">
        <f>max(D152:D181)</f>
        <v>0.008058262</v>
      </c>
      <c r="L9" s="9">
        <f>AVERAGE(D152:D181)</f>
        <v>0.004134039933</v>
      </c>
      <c r="M9" s="9">
        <f>STDEV(D152:D181)</f>
        <v>0.001576590005</v>
      </c>
      <c r="N9" s="9">
        <f t="shared" si="1"/>
        <v>0.3813678703</v>
      </c>
      <c r="O9" s="7"/>
      <c r="P9" s="7"/>
      <c r="Q9" s="7"/>
      <c r="R9" s="7"/>
      <c r="S9" s="7"/>
      <c r="T9" s="7"/>
      <c r="U9" s="7"/>
    </row>
    <row r="10" ht="22.5" customHeight="1">
      <c r="A10" s="2">
        <v>1024.0</v>
      </c>
      <c r="B10" s="2">
        <v>8.0</v>
      </c>
      <c r="C10" s="2">
        <v>1032.0</v>
      </c>
      <c r="D10" s="3">
        <v>8.34255E-4</v>
      </c>
      <c r="E10" s="3">
        <v>8.94778E-4</v>
      </c>
      <c r="F10" s="2">
        <v>8.0</v>
      </c>
      <c r="G10" s="2">
        <v>512.0</v>
      </c>
      <c r="I10" s="8">
        <v>65536.0</v>
      </c>
      <c r="J10" s="9">
        <f>min(D182:D211)</f>
        <v>0.006114477</v>
      </c>
      <c r="K10" s="9">
        <f>max(D182:D211)</f>
        <v>0.018373241</v>
      </c>
      <c r="L10" s="9">
        <f>AVERAGE(D182:D211)</f>
        <v>0.008927188767</v>
      </c>
      <c r="M10" s="9">
        <f>STDEV(D182:D211)</f>
        <v>0.003229097315</v>
      </c>
      <c r="N10" s="9">
        <f t="shared" si="1"/>
        <v>0.3617149138</v>
      </c>
      <c r="O10" s="7"/>
      <c r="P10" s="7"/>
      <c r="Q10" s="7"/>
      <c r="R10" s="7"/>
      <c r="S10" s="7"/>
      <c r="T10" s="7"/>
      <c r="U10" s="7"/>
    </row>
    <row r="11" ht="22.5" customHeight="1">
      <c r="A11" s="2">
        <v>1024.0</v>
      </c>
      <c r="B11" s="2">
        <v>9.0</v>
      </c>
      <c r="C11" s="2">
        <v>1033.0</v>
      </c>
      <c r="D11" s="3">
        <v>8.16442E-4</v>
      </c>
      <c r="E11" s="3">
        <v>8.42591E-4</v>
      </c>
      <c r="F11" s="2">
        <v>8.0</v>
      </c>
      <c r="G11" s="2">
        <v>512.0</v>
      </c>
      <c r="I11" s="8">
        <v>131072.0</v>
      </c>
      <c r="J11" s="9">
        <f>min(D212:D241)</f>
        <v>0.027274731</v>
      </c>
      <c r="K11" s="9">
        <f>max(D212:D241)</f>
        <v>0.050376335</v>
      </c>
      <c r="L11" s="9">
        <f>AVERAGE(D212:D241)</f>
        <v>0.03476415033</v>
      </c>
      <c r="M11" s="9">
        <f>STDEV(D212:D241)</f>
        <v>0.00577256681</v>
      </c>
      <c r="N11" s="9">
        <f t="shared" si="1"/>
        <v>0.1660494146</v>
      </c>
      <c r="O11" s="7"/>
      <c r="P11" s="7"/>
      <c r="Q11" s="7"/>
      <c r="R11" s="7"/>
      <c r="S11" s="7"/>
      <c r="T11" s="7"/>
      <c r="U11" s="7"/>
    </row>
    <row r="12" ht="22.5" customHeight="1">
      <c r="A12" s="2">
        <v>1024.0</v>
      </c>
      <c r="B12" s="2">
        <v>10.0</v>
      </c>
      <c r="C12" s="2">
        <v>1034.0</v>
      </c>
      <c r="D12" s="3">
        <v>8.27172E-4</v>
      </c>
      <c r="E12" s="3">
        <v>9.02132E-4</v>
      </c>
      <c r="F12" s="2">
        <v>8.0</v>
      </c>
      <c r="G12" s="2">
        <v>512.0</v>
      </c>
      <c r="I12" s="8">
        <v>262144.0</v>
      </c>
      <c r="J12" s="9">
        <f>min(D242:D271)</f>
        <v>0.049083657</v>
      </c>
      <c r="K12" s="9">
        <f>max(D242:D271)</f>
        <v>0.109265229</v>
      </c>
      <c r="L12" s="9">
        <f>AVERAGE(D242:D271)</f>
        <v>0.0818594399</v>
      </c>
      <c r="M12" s="9">
        <f>STDEV(D242:D271)</f>
        <v>0.01463593135</v>
      </c>
      <c r="N12" s="9">
        <f t="shared" si="1"/>
        <v>0.178793446</v>
      </c>
      <c r="O12" s="7"/>
      <c r="P12" s="7"/>
      <c r="Q12" s="7"/>
      <c r="R12" s="7"/>
      <c r="S12" s="7"/>
      <c r="T12" s="7"/>
      <c r="U12" s="7"/>
    </row>
    <row r="13" ht="22.5" customHeight="1">
      <c r="A13" s="2">
        <v>1024.0</v>
      </c>
      <c r="B13" s="2">
        <v>11.0</v>
      </c>
      <c r="C13" s="2">
        <v>1035.0</v>
      </c>
      <c r="D13" s="3">
        <v>5.46689E-4</v>
      </c>
      <c r="E13" s="3">
        <v>3.73676E-4</v>
      </c>
      <c r="F13" s="2">
        <v>8.0</v>
      </c>
      <c r="G13" s="2">
        <v>512.0</v>
      </c>
      <c r="O13" s="7"/>
      <c r="P13" s="7"/>
      <c r="Q13" s="7"/>
      <c r="R13" s="7"/>
      <c r="S13" s="7"/>
      <c r="T13" s="7"/>
      <c r="U13" s="7"/>
    </row>
    <row r="14" ht="22.5" customHeight="1">
      <c r="A14" s="2">
        <v>1024.0</v>
      </c>
      <c r="B14" s="2">
        <v>12.0</v>
      </c>
      <c r="C14" s="2">
        <v>1036.0</v>
      </c>
      <c r="D14" s="3">
        <v>2.79621E-4</v>
      </c>
      <c r="E14" s="3">
        <v>2.69533E-4</v>
      </c>
      <c r="F14" s="2">
        <v>8.0</v>
      </c>
      <c r="G14" s="2">
        <v>512.0</v>
      </c>
      <c r="O14" s="7"/>
      <c r="P14" s="7"/>
      <c r="Q14" s="7"/>
      <c r="R14" s="7"/>
      <c r="S14" s="7"/>
      <c r="T14" s="7"/>
      <c r="U14" s="7"/>
    </row>
    <row r="15" ht="22.5" customHeight="1">
      <c r="A15" s="2">
        <v>1024.0</v>
      </c>
      <c r="B15" s="2">
        <v>13.0</v>
      </c>
      <c r="C15" s="2">
        <v>1037.0</v>
      </c>
      <c r="D15" s="3">
        <v>1.68263E-4</v>
      </c>
      <c r="E15" s="3">
        <v>1.22719E-4</v>
      </c>
      <c r="F15" s="2">
        <v>8.0</v>
      </c>
      <c r="G15" s="2">
        <v>512.0</v>
      </c>
      <c r="I15" s="1" t="s">
        <v>0</v>
      </c>
      <c r="J15" s="1" t="s">
        <v>6</v>
      </c>
      <c r="K15" s="1" t="s">
        <v>7</v>
      </c>
      <c r="L15" s="1" t="s">
        <v>11</v>
      </c>
      <c r="M15" s="1" t="s">
        <v>9</v>
      </c>
      <c r="N15" s="1" t="s">
        <v>10</v>
      </c>
      <c r="O15" s="7"/>
      <c r="P15" s="7"/>
      <c r="Q15" s="7"/>
      <c r="R15" s="7"/>
      <c r="S15" s="7"/>
      <c r="T15" s="7"/>
      <c r="U15" s="7"/>
    </row>
    <row r="16" ht="22.5" customHeight="1">
      <c r="A16" s="2">
        <v>1024.0</v>
      </c>
      <c r="B16" s="2">
        <v>14.0</v>
      </c>
      <c r="C16" s="2">
        <v>1038.0</v>
      </c>
      <c r="D16" s="3">
        <v>1.84444E-4</v>
      </c>
      <c r="E16" s="3">
        <v>2.26091E-4</v>
      </c>
      <c r="F16" s="2">
        <v>8.0</v>
      </c>
      <c r="G16" s="2">
        <v>512.0</v>
      </c>
      <c r="I16" s="8">
        <v>1024.0</v>
      </c>
      <c r="J16" s="9">
        <f>min(E2:E31)</f>
        <v>0.000122719</v>
      </c>
      <c r="K16" s="9">
        <f>max(E2:E31)</f>
        <v>0.000911218</v>
      </c>
      <c r="L16" s="9">
        <f>AVERAGE(E2:E31)</f>
        <v>0.0004560768</v>
      </c>
      <c r="M16" s="9">
        <f>STDEV(E2:E31)</f>
        <v>0.000331385034</v>
      </c>
      <c r="N16" s="10">
        <f t="shared" ref="N16:N24" si="2">M16/L16</f>
        <v>0.7265991912</v>
      </c>
      <c r="O16" s="7"/>
      <c r="P16" s="7"/>
      <c r="Q16" s="7"/>
      <c r="R16" s="7"/>
      <c r="S16" s="7"/>
      <c r="T16" s="7"/>
      <c r="U16" s="7"/>
    </row>
    <row r="17" ht="22.5" customHeight="1">
      <c r="A17" s="2">
        <v>1024.0</v>
      </c>
      <c r="B17" s="2">
        <v>15.0</v>
      </c>
      <c r="C17" s="2">
        <v>1039.0</v>
      </c>
      <c r="D17" s="3">
        <v>1.92499E-4</v>
      </c>
      <c r="E17" s="3">
        <v>2.18197E-4</v>
      </c>
      <c r="F17" s="2">
        <v>8.0</v>
      </c>
      <c r="G17" s="2">
        <v>512.0</v>
      </c>
      <c r="I17" s="8">
        <v>2048.0</v>
      </c>
      <c r="J17" s="9">
        <f>min(E32:E61)</f>
        <v>0.000376381</v>
      </c>
      <c r="K17" s="9">
        <f>max(E32:E61)</f>
        <v>0.000583458</v>
      </c>
      <c r="L17" s="9">
        <f>AVERAGE(E32:E61)</f>
        <v>0.0004562324333</v>
      </c>
      <c r="M17" s="9">
        <f>STDEV(E32:E61)</f>
        <v>0.00006319851139</v>
      </c>
      <c r="N17" s="10">
        <f t="shared" si="2"/>
        <v>0.1385226187</v>
      </c>
      <c r="O17" s="7"/>
      <c r="P17" s="7"/>
      <c r="Q17" s="7"/>
      <c r="R17" s="7"/>
      <c r="S17" s="7"/>
      <c r="T17" s="7"/>
      <c r="U17" s="7"/>
    </row>
    <row r="18" ht="22.5" customHeight="1">
      <c r="A18" s="2">
        <v>1024.0</v>
      </c>
      <c r="B18" s="2">
        <v>16.0</v>
      </c>
      <c r="C18" s="2">
        <v>1040.0</v>
      </c>
      <c r="D18" s="3">
        <v>1.93811E-4</v>
      </c>
      <c r="E18" s="3">
        <v>2.13277E-4</v>
      </c>
      <c r="F18" s="2">
        <v>8.0</v>
      </c>
      <c r="G18" s="2">
        <v>512.0</v>
      </c>
      <c r="I18" s="8">
        <v>4096.0</v>
      </c>
      <c r="J18" s="9">
        <f>min(E62:E91)</f>
        <v>0.000360692</v>
      </c>
      <c r="K18" s="9">
        <f>MAX(E62:E91)</f>
        <v>0.001036091</v>
      </c>
      <c r="L18" s="9">
        <f>AVERAGE(E62:E91)</f>
        <v>0.0006562008667</v>
      </c>
      <c r="M18" s="9">
        <f>STDEV(E62:E91)</f>
        <v>0.0001969682077</v>
      </c>
      <c r="N18" s="10">
        <f t="shared" si="2"/>
        <v>0.300164504</v>
      </c>
      <c r="O18" s="7"/>
      <c r="P18" s="7"/>
      <c r="Q18" s="7"/>
      <c r="R18" s="7"/>
      <c r="S18" s="7"/>
      <c r="T18" s="7"/>
      <c r="U18" s="7"/>
    </row>
    <row r="19" ht="22.5" customHeight="1">
      <c r="A19" s="2">
        <v>1024.0</v>
      </c>
      <c r="B19" s="2">
        <v>17.0</v>
      </c>
      <c r="C19" s="2">
        <v>1041.0</v>
      </c>
      <c r="D19" s="3">
        <v>1.94182E-4</v>
      </c>
      <c r="E19" s="3">
        <v>2.27865E-4</v>
      </c>
      <c r="F19" s="2">
        <v>8.0</v>
      </c>
      <c r="G19" s="2">
        <v>512.0</v>
      </c>
      <c r="I19" s="8">
        <v>8192.0</v>
      </c>
      <c r="J19" s="9">
        <f>min(E92:E121)</f>
        <v>0.000745861</v>
      </c>
      <c r="K19" s="9">
        <f>max(E92:E121)</f>
        <v>0.000990757</v>
      </c>
      <c r="L19" s="9">
        <f>AVERAGE(E92:E121)</f>
        <v>0.0008348124</v>
      </c>
      <c r="M19" s="9">
        <f>STDEV(E92:E121)</f>
        <v>0.0000579434082</v>
      </c>
      <c r="N19" s="10">
        <f t="shared" si="2"/>
        <v>0.06940889737</v>
      </c>
      <c r="O19" s="7"/>
      <c r="P19" s="7"/>
      <c r="Q19" s="7"/>
      <c r="R19" s="7"/>
      <c r="S19" s="7"/>
      <c r="T19" s="7"/>
      <c r="U19" s="7"/>
    </row>
    <row r="20" ht="22.5" customHeight="1">
      <c r="A20" s="2">
        <v>1024.0</v>
      </c>
      <c r="B20" s="2">
        <v>18.0</v>
      </c>
      <c r="C20" s="2">
        <v>1042.0</v>
      </c>
      <c r="D20" s="3">
        <v>1.84233E-4</v>
      </c>
      <c r="E20" s="3">
        <v>2.30369E-4</v>
      </c>
      <c r="F20" s="2">
        <v>8.0</v>
      </c>
      <c r="G20" s="2">
        <v>512.0</v>
      </c>
      <c r="I20" s="8">
        <v>16384.0</v>
      </c>
      <c r="J20" s="9">
        <f>min(E122:E151)</f>
        <v>0.001295294</v>
      </c>
      <c r="K20" s="9">
        <f>max(E122:E151)</f>
        <v>0.002472248</v>
      </c>
      <c r="L20" s="9">
        <f>AVERAGE(E122:E151)</f>
        <v>0.001547563867</v>
      </c>
      <c r="M20" s="9">
        <f>STDEV(E122:E151)</f>
        <v>0.0002671787377</v>
      </c>
      <c r="N20" s="10">
        <f t="shared" si="2"/>
        <v>0.1726447247</v>
      </c>
      <c r="O20" s="7"/>
      <c r="P20" s="7"/>
      <c r="Q20" s="7"/>
      <c r="R20" s="7"/>
      <c r="S20" s="7"/>
      <c r="T20" s="7"/>
      <c r="U20" s="7"/>
    </row>
    <row r="21" ht="22.5" customHeight="1">
      <c r="A21" s="2">
        <v>1024.0</v>
      </c>
      <c r="B21" s="2">
        <v>19.0</v>
      </c>
      <c r="C21" s="2">
        <v>1043.0</v>
      </c>
      <c r="D21" s="3">
        <v>1.84143E-4</v>
      </c>
      <c r="E21" s="3">
        <v>1.99291E-4</v>
      </c>
      <c r="F21" s="2">
        <v>8.0</v>
      </c>
      <c r="G21" s="2">
        <v>512.0</v>
      </c>
      <c r="I21" s="8">
        <v>32768.0</v>
      </c>
      <c r="J21" s="9">
        <f>min(E152:E181)</f>
        <v>0.002791293</v>
      </c>
      <c r="K21" s="9">
        <f>max(E152:E181)</f>
        <v>0.007592602</v>
      </c>
      <c r="L21" s="9">
        <f>AVERAGE(E152:E181)</f>
        <v>0.004114257733</v>
      </c>
      <c r="M21" s="9">
        <f>STDEV(E152:E181)</f>
        <v>0.001399112562</v>
      </c>
      <c r="N21" s="10">
        <f t="shared" si="2"/>
        <v>0.3400643938</v>
      </c>
      <c r="O21" s="7"/>
      <c r="P21" s="7"/>
      <c r="Q21" s="7"/>
      <c r="R21" s="7"/>
      <c r="S21" s="7"/>
      <c r="T21" s="7"/>
      <c r="U21" s="7"/>
    </row>
    <row r="22" ht="22.5" customHeight="1">
      <c r="A22" s="2">
        <v>1024.0</v>
      </c>
      <c r="B22" s="2">
        <v>20.0</v>
      </c>
      <c r="C22" s="2">
        <v>1044.0</v>
      </c>
      <c r="D22" s="3">
        <v>1.84775E-4</v>
      </c>
      <c r="E22" s="3">
        <v>1.82891E-4</v>
      </c>
      <c r="F22" s="2">
        <v>8.0</v>
      </c>
      <c r="G22" s="2">
        <v>512.0</v>
      </c>
      <c r="I22" s="8">
        <v>65536.0</v>
      </c>
      <c r="J22" s="9">
        <f>min(E182:E211)</f>
        <v>0.006183917</v>
      </c>
      <c r="K22" s="9">
        <f>max(E182:E211)</f>
        <v>0.020739911</v>
      </c>
      <c r="L22" s="9">
        <f>AVERAGE(E182:E211)</f>
        <v>0.008868965933</v>
      </c>
      <c r="M22" s="9">
        <f>STDEV(E182:E211)</f>
        <v>0.003585516772</v>
      </c>
      <c r="N22" s="10">
        <f t="shared" si="2"/>
        <v>0.4042767555</v>
      </c>
      <c r="O22" s="7"/>
      <c r="P22" s="7"/>
      <c r="Q22" s="7"/>
      <c r="R22" s="7"/>
      <c r="S22" s="7"/>
      <c r="T22" s="7"/>
      <c r="U22" s="7"/>
    </row>
    <row r="23" ht="22.5" customHeight="1">
      <c r="A23" s="2">
        <v>1024.0</v>
      </c>
      <c r="B23" s="2">
        <v>21.0</v>
      </c>
      <c r="C23" s="2">
        <v>1045.0</v>
      </c>
      <c r="D23" s="3">
        <v>1.85486E-4</v>
      </c>
      <c r="E23" s="3">
        <v>2.19739E-4</v>
      </c>
      <c r="F23" s="2">
        <v>8.0</v>
      </c>
      <c r="G23" s="2">
        <v>512.0</v>
      </c>
      <c r="I23" s="8">
        <v>131072.0</v>
      </c>
      <c r="J23" s="9">
        <f>min(E212:E241)</f>
        <v>0.026171216</v>
      </c>
      <c r="K23" s="9">
        <f>max(E212:E241)</f>
        <v>0.054632402</v>
      </c>
      <c r="L23" s="9">
        <f>AVERAGE(E212:E241)</f>
        <v>0.03413516743</v>
      </c>
      <c r="M23" s="9">
        <f>STDEV(E212:E241)</f>
        <v>0.005781029431</v>
      </c>
      <c r="N23" s="10">
        <f t="shared" si="2"/>
        <v>0.1693569965</v>
      </c>
      <c r="O23" s="7"/>
      <c r="P23" s="7"/>
      <c r="Q23" s="7"/>
      <c r="R23" s="7"/>
      <c r="S23" s="7"/>
      <c r="T23" s="7"/>
      <c r="U23" s="7"/>
    </row>
    <row r="24" ht="22.5" customHeight="1">
      <c r="A24" s="2">
        <v>1024.0</v>
      </c>
      <c r="B24" s="2">
        <v>22.0</v>
      </c>
      <c r="C24" s="2">
        <v>1046.0</v>
      </c>
      <c r="D24" s="3">
        <v>1.83081E-4</v>
      </c>
      <c r="E24" s="3">
        <v>1.85556E-4</v>
      </c>
      <c r="F24" s="2">
        <v>8.0</v>
      </c>
      <c r="G24" s="2">
        <v>512.0</v>
      </c>
      <c r="I24" s="8">
        <v>262144.0</v>
      </c>
      <c r="J24" s="9">
        <f>min(E242:E271)</f>
        <v>0.046680655</v>
      </c>
      <c r="K24" s="9">
        <f>max(E242:E271)</f>
        <v>0.109497514</v>
      </c>
      <c r="L24" s="9">
        <f>AVERAGE(E242:E271)</f>
        <v>0.0831126119</v>
      </c>
      <c r="M24" s="9">
        <f>STDEV(E242:E271)</f>
        <v>0.01382670112</v>
      </c>
      <c r="N24" s="10">
        <f t="shared" si="2"/>
        <v>0.1663610468</v>
      </c>
      <c r="O24" s="7"/>
      <c r="P24" s="7"/>
      <c r="Q24" s="7"/>
      <c r="R24" s="7"/>
      <c r="S24" s="7"/>
      <c r="T24" s="7"/>
      <c r="U24" s="7"/>
    </row>
    <row r="25" ht="22.5" customHeight="1">
      <c r="A25" s="2">
        <v>1024.0</v>
      </c>
      <c r="B25" s="2">
        <v>23.0</v>
      </c>
      <c r="C25" s="2">
        <v>1047.0</v>
      </c>
      <c r="D25" s="3">
        <v>1.80487E-4</v>
      </c>
      <c r="E25" s="3">
        <v>1.89514E-4</v>
      </c>
      <c r="F25" s="2">
        <v>8.0</v>
      </c>
      <c r="G25" s="2">
        <v>512.0</v>
      </c>
      <c r="O25" s="7"/>
      <c r="P25" s="7"/>
      <c r="Q25" s="7"/>
      <c r="R25" s="7"/>
      <c r="S25" s="7"/>
      <c r="T25" s="7"/>
      <c r="U25" s="7"/>
    </row>
    <row r="26" ht="22.5" customHeight="1">
      <c r="A26" s="2">
        <v>1024.0</v>
      </c>
      <c r="B26" s="2">
        <v>24.0</v>
      </c>
      <c r="C26" s="2">
        <v>1048.0</v>
      </c>
      <c r="D26" s="3">
        <v>1.8824E-4</v>
      </c>
      <c r="E26" s="3">
        <v>1.86889E-4</v>
      </c>
      <c r="F26" s="2">
        <v>8.0</v>
      </c>
      <c r="G26" s="2">
        <v>512.0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ht="22.5" customHeight="1">
      <c r="A27" s="2">
        <v>1024.0</v>
      </c>
      <c r="B27" s="2">
        <v>25.0</v>
      </c>
      <c r="C27" s="2">
        <v>1049.0</v>
      </c>
      <c r="D27" s="3">
        <v>2.11194E-4</v>
      </c>
      <c r="E27" s="3">
        <v>1.92569E-4</v>
      </c>
      <c r="F27" s="2">
        <v>8.0</v>
      </c>
      <c r="G27" s="2">
        <v>512.0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ht="22.5" customHeight="1">
      <c r="A28" s="2">
        <v>1024.0</v>
      </c>
      <c r="B28" s="2">
        <v>26.0</v>
      </c>
      <c r="C28" s="2">
        <v>1050.0</v>
      </c>
      <c r="D28" s="3">
        <v>1.80857E-4</v>
      </c>
      <c r="E28" s="3">
        <v>1.93781E-4</v>
      </c>
      <c r="F28" s="2">
        <v>8.0</v>
      </c>
      <c r="G28" s="2">
        <v>512.0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ht="22.5" customHeight="1">
      <c r="A29" s="2">
        <v>1024.0</v>
      </c>
      <c r="B29" s="2">
        <v>27.0</v>
      </c>
      <c r="C29" s="2">
        <v>1051.0</v>
      </c>
      <c r="D29" s="3">
        <v>1.74244E-4</v>
      </c>
      <c r="E29" s="3">
        <v>1.88121E-4</v>
      </c>
      <c r="F29" s="2">
        <v>8.0</v>
      </c>
      <c r="G29" s="2">
        <v>512.0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ht="22.5" customHeight="1">
      <c r="A30" s="2">
        <v>1024.0</v>
      </c>
      <c r="B30" s="2">
        <v>28.0</v>
      </c>
      <c r="C30" s="2">
        <v>1052.0</v>
      </c>
      <c r="D30" s="3">
        <v>2.11845E-4</v>
      </c>
      <c r="E30" s="3">
        <v>1.86467E-4</v>
      </c>
      <c r="F30" s="2">
        <v>8.0</v>
      </c>
      <c r="G30" s="2">
        <v>512.0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ht="22.5" customHeight="1">
      <c r="A31" s="2">
        <v>1024.0</v>
      </c>
      <c r="B31" s="2">
        <v>29.0</v>
      </c>
      <c r="C31" s="2">
        <v>1053.0</v>
      </c>
      <c r="D31" s="3">
        <v>2.05574E-4</v>
      </c>
      <c r="E31" s="3">
        <v>1.8806E-4</v>
      </c>
      <c r="F31" s="2">
        <v>8.0</v>
      </c>
      <c r="G31" s="2">
        <v>512.0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ht="22.5" customHeight="1">
      <c r="A32" s="2">
        <v>2048.0</v>
      </c>
      <c r="B32" s="2">
        <v>0.0</v>
      </c>
      <c r="C32" s="2">
        <v>2048.0</v>
      </c>
      <c r="D32" s="3">
        <v>5.45578E-4</v>
      </c>
      <c r="E32" s="3">
        <v>3.92562E-4</v>
      </c>
      <c r="F32" s="2">
        <v>9.0</v>
      </c>
      <c r="G32" s="2">
        <v>1024.0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2.5" customHeight="1">
      <c r="A33" s="2">
        <v>2048.0</v>
      </c>
      <c r="B33" s="2">
        <v>1.0</v>
      </c>
      <c r="C33" s="2">
        <v>2049.0</v>
      </c>
      <c r="D33" s="3">
        <v>4.40551E-4</v>
      </c>
      <c r="E33" s="3">
        <v>5.14238E-4</v>
      </c>
      <c r="F33" s="2">
        <v>9.0</v>
      </c>
      <c r="G33" s="2">
        <v>1024.0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ht="22.5" customHeight="1">
      <c r="A34" s="2">
        <v>2048.0</v>
      </c>
      <c r="B34" s="2">
        <v>2.0</v>
      </c>
      <c r="C34" s="2">
        <v>2050.0</v>
      </c>
      <c r="D34" s="3">
        <v>4.20844E-4</v>
      </c>
      <c r="E34" s="3">
        <v>3.84287E-4</v>
      </c>
      <c r="F34" s="2">
        <v>9.0</v>
      </c>
      <c r="G34" s="2">
        <v>1024.0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ht="22.5" customHeight="1">
      <c r="A35" s="2">
        <v>2048.0</v>
      </c>
      <c r="B35" s="2">
        <v>3.0</v>
      </c>
      <c r="C35" s="2">
        <v>2051.0</v>
      </c>
      <c r="D35" s="3">
        <v>3.70089E-4</v>
      </c>
      <c r="E35" s="3">
        <v>3.81291E-4</v>
      </c>
      <c r="F35" s="2">
        <v>9.0</v>
      </c>
      <c r="G35" s="2">
        <v>1024.0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ht="22.5" customHeight="1">
      <c r="A36" s="2">
        <v>2048.0</v>
      </c>
      <c r="B36" s="2">
        <v>4.0</v>
      </c>
      <c r="C36" s="2">
        <v>2052.0</v>
      </c>
      <c r="D36" s="3">
        <v>3.74367E-4</v>
      </c>
      <c r="E36" s="3">
        <v>4.06107E-4</v>
      </c>
      <c r="F36" s="2">
        <v>9.0</v>
      </c>
      <c r="G36" s="2">
        <v>1024.0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ht="22.5" customHeight="1">
      <c r="A37" s="2">
        <v>2048.0</v>
      </c>
      <c r="B37" s="2">
        <v>5.0</v>
      </c>
      <c r="C37" s="2">
        <v>2053.0</v>
      </c>
      <c r="D37" s="3">
        <v>3.94856E-4</v>
      </c>
      <c r="E37" s="3">
        <v>3.76381E-4</v>
      </c>
      <c r="F37" s="2">
        <v>9.0</v>
      </c>
      <c r="G37" s="2">
        <v>1024.0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ht="22.5" customHeight="1">
      <c r="A38" s="2">
        <v>2048.0</v>
      </c>
      <c r="B38" s="2">
        <v>6.0</v>
      </c>
      <c r="C38" s="2">
        <v>2054.0</v>
      </c>
      <c r="D38" s="3">
        <v>4.03242E-4</v>
      </c>
      <c r="E38" s="3">
        <v>3.8059E-4</v>
      </c>
      <c r="F38" s="2">
        <v>9.0</v>
      </c>
      <c r="G38" s="2">
        <v>1024.0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ht="22.5" customHeight="1">
      <c r="A39" s="2">
        <v>2048.0</v>
      </c>
      <c r="B39" s="2">
        <v>7.0</v>
      </c>
      <c r="C39" s="2">
        <v>2055.0</v>
      </c>
      <c r="D39" s="3">
        <v>3.73366E-4</v>
      </c>
      <c r="E39" s="3">
        <v>3.88324E-4</v>
      </c>
      <c r="F39" s="2">
        <v>9.0</v>
      </c>
      <c r="G39" s="2">
        <v>1024.0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ht="22.5" customHeight="1">
      <c r="A40" s="2">
        <v>2048.0</v>
      </c>
      <c r="B40" s="2">
        <v>8.0</v>
      </c>
      <c r="C40" s="2">
        <v>2056.0</v>
      </c>
      <c r="D40" s="3">
        <v>3.71603E-4</v>
      </c>
      <c r="E40" s="3">
        <v>4.00357E-4</v>
      </c>
      <c r="F40" s="2">
        <v>9.0</v>
      </c>
      <c r="G40" s="2">
        <v>1024.0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ht="22.5" customHeight="1">
      <c r="A41" s="2">
        <v>2048.0</v>
      </c>
      <c r="B41" s="2">
        <v>9.0</v>
      </c>
      <c r="C41" s="2">
        <v>2057.0</v>
      </c>
      <c r="D41" s="3">
        <v>3.64029E-4</v>
      </c>
      <c r="E41" s="3">
        <v>3.89246E-4</v>
      </c>
      <c r="F41" s="2">
        <v>9.0</v>
      </c>
      <c r="G41" s="2">
        <v>1024.0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ht="22.5" customHeight="1">
      <c r="A42" s="2">
        <v>2048.0</v>
      </c>
      <c r="B42" s="2">
        <v>10.0</v>
      </c>
      <c r="C42" s="2">
        <v>2058.0</v>
      </c>
      <c r="D42" s="3">
        <v>3.94656E-4</v>
      </c>
      <c r="E42" s="3">
        <v>4.30472E-4</v>
      </c>
      <c r="F42" s="2">
        <v>9.0</v>
      </c>
      <c r="G42" s="2">
        <v>1024.0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ht="22.5" customHeight="1">
      <c r="A43" s="2">
        <v>2048.0</v>
      </c>
      <c r="B43" s="2">
        <v>11.0</v>
      </c>
      <c r="C43" s="2">
        <v>2059.0</v>
      </c>
      <c r="D43" s="3">
        <v>4.22738E-4</v>
      </c>
      <c r="E43" s="3">
        <v>5.51718E-4</v>
      </c>
      <c r="F43" s="2">
        <v>9.0</v>
      </c>
      <c r="G43" s="2">
        <v>1024.0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ht="22.5" customHeight="1">
      <c r="A44" s="2">
        <v>2048.0</v>
      </c>
      <c r="B44" s="2">
        <v>12.0</v>
      </c>
      <c r="C44" s="2">
        <v>2060.0</v>
      </c>
      <c r="D44" s="3">
        <v>5.67177E-4</v>
      </c>
      <c r="E44" s="3">
        <v>3.80439E-4</v>
      </c>
      <c r="F44" s="2">
        <v>9.0</v>
      </c>
      <c r="G44" s="2">
        <v>1024.0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ht="22.5" customHeight="1">
      <c r="A45" s="2">
        <v>2048.0</v>
      </c>
      <c r="B45" s="2">
        <v>13.0</v>
      </c>
      <c r="C45" s="2">
        <v>2061.0</v>
      </c>
      <c r="D45" s="3">
        <v>5.04721E-4</v>
      </c>
      <c r="E45" s="3">
        <v>4.97738E-4</v>
      </c>
      <c r="F45" s="2">
        <v>9.0</v>
      </c>
      <c r="G45" s="2">
        <v>1024.0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ht="22.5" customHeight="1">
      <c r="A46" s="2">
        <v>2048.0</v>
      </c>
      <c r="B46" s="2">
        <v>14.0</v>
      </c>
      <c r="C46" s="2">
        <v>2062.0</v>
      </c>
      <c r="D46" s="3">
        <v>4.06899E-4</v>
      </c>
      <c r="E46" s="3">
        <v>4.52263E-4</v>
      </c>
      <c r="F46" s="2">
        <v>9.0</v>
      </c>
      <c r="G46" s="2">
        <v>1024.0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ht="22.5" customHeight="1">
      <c r="A47" s="2">
        <v>2048.0</v>
      </c>
      <c r="B47" s="2">
        <v>15.0</v>
      </c>
      <c r="C47" s="2">
        <v>2063.0</v>
      </c>
      <c r="D47" s="3">
        <v>4.90454E-4</v>
      </c>
      <c r="E47" s="3">
        <v>4.85606E-4</v>
      </c>
      <c r="F47" s="2">
        <v>9.0</v>
      </c>
      <c r="G47" s="2">
        <v>1024.0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ht="22.5" customHeight="1">
      <c r="A48" s="2">
        <v>2048.0</v>
      </c>
      <c r="B48" s="2">
        <v>16.0</v>
      </c>
      <c r="C48" s="2">
        <v>2064.0</v>
      </c>
      <c r="D48" s="3">
        <v>5.02466E-4</v>
      </c>
      <c r="E48" s="3">
        <v>4.81838E-4</v>
      </c>
      <c r="F48" s="2">
        <v>9.0</v>
      </c>
      <c r="G48" s="2">
        <v>1024.0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ht="22.5" customHeight="1">
      <c r="A49" s="2">
        <v>2048.0</v>
      </c>
      <c r="B49" s="2">
        <v>17.0</v>
      </c>
      <c r="C49" s="2">
        <v>2065.0</v>
      </c>
      <c r="D49" s="3">
        <v>5.15401E-4</v>
      </c>
      <c r="E49" s="3">
        <v>4.86507E-4</v>
      </c>
      <c r="F49" s="2">
        <v>9.0</v>
      </c>
      <c r="G49" s="2">
        <v>1024.0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ht="22.5" customHeight="1">
      <c r="A50" s="2">
        <v>2048.0</v>
      </c>
      <c r="B50" s="2">
        <v>18.0</v>
      </c>
      <c r="C50" s="2">
        <v>2066.0</v>
      </c>
      <c r="D50" s="3">
        <v>4.78422E-4</v>
      </c>
      <c r="E50" s="3">
        <v>5.11393E-4</v>
      </c>
      <c r="F50" s="2">
        <v>9.0</v>
      </c>
      <c r="G50" s="2">
        <v>1024.0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ht="22.5" customHeight="1">
      <c r="A51" s="2">
        <v>2048.0</v>
      </c>
      <c r="B51" s="2">
        <v>19.0</v>
      </c>
      <c r="C51" s="2">
        <v>2067.0</v>
      </c>
      <c r="D51" s="3">
        <v>4.83301E-4</v>
      </c>
      <c r="E51" s="3">
        <v>4.94852E-4</v>
      </c>
      <c r="F51" s="2">
        <v>9.0</v>
      </c>
      <c r="G51" s="2">
        <v>1024.0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ht="22.5" customHeight="1">
      <c r="A52" s="2">
        <v>2048.0</v>
      </c>
      <c r="B52" s="2">
        <v>20.0</v>
      </c>
      <c r="C52" s="2">
        <v>2068.0</v>
      </c>
      <c r="D52" s="3">
        <v>5.46218E-4</v>
      </c>
      <c r="E52" s="3">
        <v>5.44041E-4</v>
      </c>
      <c r="F52" s="2">
        <v>9.0</v>
      </c>
      <c r="G52" s="2">
        <v>1024.0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ht="22.5" customHeight="1">
      <c r="A53" s="2">
        <v>2048.0</v>
      </c>
      <c r="B53" s="2">
        <v>21.0</v>
      </c>
      <c r="C53" s="2">
        <v>2069.0</v>
      </c>
      <c r="D53" s="3">
        <v>3.76562E-4</v>
      </c>
      <c r="E53" s="3">
        <v>5.83458E-4</v>
      </c>
      <c r="F53" s="2">
        <v>9.0</v>
      </c>
      <c r="G53" s="2">
        <v>1024.0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ht="22.5" customHeight="1">
      <c r="A54" s="2">
        <v>2048.0</v>
      </c>
      <c r="B54" s="2">
        <v>22.0</v>
      </c>
      <c r="C54" s="2">
        <v>2070.0</v>
      </c>
      <c r="D54" s="3">
        <v>5.94929E-4</v>
      </c>
      <c r="E54" s="3">
        <v>4.89483E-4</v>
      </c>
      <c r="F54" s="2">
        <v>9.0</v>
      </c>
      <c r="G54" s="2">
        <v>1024.0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ht="22.5" customHeight="1">
      <c r="A55" s="2">
        <v>2048.0</v>
      </c>
      <c r="B55" s="2">
        <v>23.0</v>
      </c>
      <c r="C55" s="2">
        <v>2071.0</v>
      </c>
      <c r="D55" s="3">
        <v>4.6136E-4</v>
      </c>
      <c r="E55" s="3">
        <v>4.38177E-4</v>
      </c>
      <c r="F55" s="2">
        <v>9.0</v>
      </c>
      <c r="G55" s="2">
        <v>1024.0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ht="22.5" customHeight="1">
      <c r="A56" s="2">
        <v>2048.0</v>
      </c>
      <c r="B56" s="2">
        <v>24.0</v>
      </c>
      <c r="C56" s="2">
        <v>2072.0</v>
      </c>
      <c r="D56" s="3">
        <v>5.03248E-4</v>
      </c>
      <c r="E56" s="3">
        <v>5.37271E-4</v>
      </c>
      <c r="F56" s="2">
        <v>9.0</v>
      </c>
      <c r="G56" s="2">
        <v>1024.0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ht="22.5" customHeight="1">
      <c r="A57" s="2">
        <v>2048.0</v>
      </c>
      <c r="B57" s="2">
        <v>25.0</v>
      </c>
      <c r="C57" s="2">
        <v>2073.0</v>
      </c>
      <c r="D57" s="3">
        <v>4.43086E-4</v>
      </c>
      <c r="E57" s="3">
        <v>4.26625E-4</v>
      </c>
      <c r="F57" s="2">
        <v>9.0</v>
      </c>
      <c r="G57" s="2">
        <v>1024.0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ht="22.5" customHeight="1">
      <c r="A58" s="2">
        <v>2048.0</v>
      </c>
      <c r="B58" s="2">
        <v>26.0</v>
      </c>
      <c r="C58" s="2">
        <v>2074.0</v>
      </c>
      <c r="D58" s="3">
        <v>5.1642E-4</v>
      </c>
      <c r="E58" s="3">
        <v>5.15781E-4</v>
      </c>
      <c r="F58" s="2">
        <v>9.0</v>
      </c>
      <c r="G58" s="2">
        <v>1024.0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ht="22.5" customHeight="1">
      <c r="A59" s="2">
        <v>2048.0</v>
      </c>
      <c r="B59" s="2">
        <v>27.0</v>
      </c>
      <c r="C59" s="2">
        <v>2075.0</v>
      </c>
      <c r="D59" s="3">
        <v>4.49838E-4</v>
      </c>
      <c r="E59" s="3">
        <v>5.21603E-4</v>
      </c>
      <c r="F59" s="2">
        <v>9.0</v>
      </c>
      <c r="G59" s="2">
        <v>1024.0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ht="22.5" customHeight="1">
      <c r="A60" s="2">
        <v>2048.0</v>
      </c>
      <c r="B60" s="2">
        <v>28.0</v>
      </c>
      <c r="C60" s="2">
        <v>2076.0</v>
      </c>
      <c r="D60" s="3">
        <v>5.32192E-4</v>
      </c>
      <c r="E60" s="3">
        <v>4.64817E-4</v>
      </c>
      <c r="F60" s="2">
        <v>9.0</v>
      </c>
      <c r="G60" s="2">
        <v>1024.0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ht="22.5" customHeight="1">
      <c r="A61" s="2">
        <v>2048.0</v>
      </c>
      <c r="B61" s="2">
        <v>29.0</v>
      </c>
      <c r="C61" s="2">
        <v>2077.0</v>
      </c>
      <c r="D61" s="3">
        <v>4.92659E-4</v>
      </c>
      <c r="E61" s="3">
        <v>3.79508E-4</v>
      </c>
      <c r="F61" s="2">
        <v>9.0</v>
      </c>
      <c r="G61" s="2">
        <v>1024.0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ht="22.5" customHeight="1">
      <c r="A62" s="2">
        <v>4096.0</v>
      </c>
      <c r="B62" s="2">
        <v>0.0</v>
      </c>
      <c r="C62" s="2">
        <v>4096.0</v>
      </c>
      <c r="D62" s="3">
        <v>7.12609E-4</v>
      </c>
      <c r="E62" s="3">
        <v>6.88103E-4</v>
      </c>
      <c r="F62" s="2">
        <v>10.0</v>
      </c>
      <c r="G62" s="2">
        <v>2048.0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ht="22.5" customHeight="1">
      <c r="A63" s="2">
        <v>4096.0</v>
      </c>
      <c r="B63" s="2">
        <v>1.0</v>
      </c>
      <c r="C63" s="2">
        <v>4097.0</v>
      </c>
      <c r="D63" s="3">
        <v>8.7959E-4</v>
      </c>
      <c r="E63" s="3">
        <v>0.001036091</v>
      </c>
      <c r="F63" s="2">
        <v>10.0</v>
      </c>
      <c r="G63" s="2">
        <v>2048.0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ht="22.5" customHeight="1">
      <c r="A64" s="2">
        <v>4096.0</v>
      </c>
      <c r="B64" s="2">
        <v>2.0</v>
      </c>
      <c r="C64" s="2">
        <v>4098.0</v>
      </c>
      <c r="D64" s="3">
        <v>8.44654E-4</v>
      </c>
      <c r="E64" s="3">
        <v>9.72082E-4</v>
      </c>
      <c r="F64" s="2">
        <v>10.0</v>
      </c>
      <c r="G64" s="2">
        <v>2048.0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ht="22.5" customHeight="1">
      <c r="A65" s="2">
        <v>4096.0</v>
      </c>
      <c r="B65" s="2">
        <v>3.0</v>
      </c>
      <c r="C65" s="2">
        <v>4099.0</v>
      </c>
      <c r="D65" s="3">
        <v>6.18313E-4</v>
      </c>
      <c r="E65" s="3">
        <v>9.66351E-4</v>
      </c>
      <c r="F65" s="2">
        <v>10.0</v>
      </c>
      <c r="G65" s="2">
        <v>2048.0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ht="22.5" customHeight="1">
      <c r="A66" s="2">
        <v>4096.0</v>
      </c>
      <c r="B66" s="2">
        <v>4.0</v>
      </c>
      <c r="C66" s="2">
        <v>4100.0</v>
      </c>
      <c r="D66" s="3">
        <v>8.50826E-4</v>
      </c>
      <c r="E66" s="3">
        <v>9.05208E-4</v>
      </c>
      <c r="F66" s="2">
        <v>10.0</v>
      </c>
      <c r="G66" s="2">
        <v>2048.0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ht="22.5" customHeight="1">
      <c r="A67" s="2">
        <v>4096.0</v>
      </c>
      <c r="B67" s="2">
        <v>5.0</v>
      </c>
      <c r="C67" s="2">
        <v>4101.0</v>
      </c>
      <c r="D67" s="3">
        <v>6.94855E-4</v>
      </c>
      <c r="E67" s="3">
        <v>7.46732E-4</v>
      </c>
      <c r="F67" s="2">
        <v>10.0</v>
      </c>
      <c r="G67" s="2">
        <v>2048.0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ht="22.5" customHeight="1">
      <c r="A68" s="2">
        <v>4096.0</v>
      </c>
      <c r="B68" s="2">
        <v>6.0</v>
      </c>
      <c r="C68" s="2">
        <v>4102.0</v>
      </c>
      <c r="D68" s="3">
        <v>9.5505E-4</v>
      </c>
      <c r="E68" s="3">
        <v>6.25857E-4</v>
      </c>
      <c r="F68" s="2">
        <v>10.0</v>
      </c>
      <c r="G68" s="2">
        <v>2048.0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ht="22.5" customHeight="1">
      <c r="A69" s="2">
        <v>4096.0</v>
      </c>
      <c r="B69" s="2">
        <v>7.0</v>
      </c>
      <c r="C69" s="2">
        <v>4103.0</v>
      </c>
      <c r="D69" s="3">
        <v>0.001002399</v>
      </c>
      <c r="E69" s="3">
        <v>0.00101887</v>
      </c>
      <c r="F69" s="2">
        <v>10.0</v>
      </c>
      <c r="G69" s="2">
        <v>2048.0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ht="22.5" customHeight="1">
      <c r="A70" s="2">
        <v>4096.0</v>
      </c>
      <c r="B70" s="2">
        <v>8.0</v>
      </c>
      <c r="C70" s="2">
        <v>4104.0</v>
      </c>
      <c r="D70" s="3">
        <v>8.18837E-4</v>
      </c>
      <c r="E70" s="3">
        <v>8.21061E-4</v>
      </c>
      <c r="F70" s="2">
        <v>10.0</v>
      </c>
      <c r="G70" s="2">
        <v>2048.0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ht="22.5" customHeight="1">
      <c r="A71" s="2">
        <v>4096.0</v>
      </c>
      <c r="B71" s="2">
        <v>9.0</v>
      </c>
      <c r="C71" s="2">
        <v>4105.0</v>
      </c>
      <c r="D71" s="3">
        <v>6.74768E-4</v>
      </c>
      <c r="E71" s="3">
        <v>6.9214E-4</v>
      </c>
      <c r="F71" s="2">
        <v>10.0</v>
      </c>
      <c r="G71" s="2">
        <v>2048.0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ht="22.5" customHeight="1">
      <c r="A72" s="2">
        <v>4096.0</v>
      </c>
      <c r="B72" s="2">
        <v>10.0</v>
      </c>
      <c r="C72" s="2">
        <v>4106.0</v>
      </c>
      <c r="D72" s="3">
        <v>5.77246E-4</v>
      </c>
      <c r="E72" s="3">
        <v>3.7057E-4</v>
      </c>
      <c r="F72" s="2">
        <v>10.0</v>
      </c>
      <c r="G72" s="2">
        <v>2048.0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ht="22.5" customHeight="1">
      <c r="A73" s="2">
        <v>4096.0</v>
      </c>
      <c r="B73" s="2">
        <v>11.0</v>
      </c>
      <c r="C73" s="2">
        <v>4107.0</v>
      </c>
      <c r="D73" s="3">
        <v>0.001221748</v>
      </c>
      <c r="E73" s="3">
        <v>3.66293E-4</v>
      </c>
      <c r="F73" s="2">
        <v>10.0</v>
      </c>
      <c r="G73" s="2">
        <v>2048.0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ht="22.5" customHeight="1">
      <c r="A74" s="2">
        <v>4096.0</v>
      </c>
      <c r="B74" s="2">
        <v>12.0</v>
      </c>
      <c r="C74" s="2">
        <v>4108.0</v>
      </c>
      <c r="D74" s="3">
        <v>5.28716E-4</v>
      </c>
      <c r="E74" s="3">
        <v>4.34209E-4</v>
      </c>
      <c r="F74" s="2">
        <v>10.0</v>
      </c>
      <c r="G74" s="2">
        <v>2048.0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ht="22.5" customHeight="1">
      <c r="A75" s="2">
        <v>4096.0</v>
      </c>
      <c r="B75" s="2">
        <v>13.0</v>
      </c>
      <c r="C75" s="2">
        <v>4109.0</v>
      </c>
      <c r="D75" s="3">
        <v>5.24418E-4</v>
      </c>
      <c r="E75" s="3">
        <v>3.60692E-4</v>
      </c>
      <c r="F75" s="2">
        <v>10.0</v>
      </c>
      <c r="G75" s="2">
        <v>2048.0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ht="22.5" customHeight="1">
      <c r="A76" s="2">
        <v>4096.0</v>
      </c>
      <c r="B76" s="2">
        <v>14.0</v>
      </c>
      <c r="C76" s="2">
        <v>4110.0</v>
      </c>
      <c r="D76" s="3">
        <v>9.70218E-4</v>
      </c>
      <c r="E76" s="3">
        <v>8.49984E-4</v>
      </c>
      <c r="F76" s="2">
        <v>10.0</v>
      </c>
      <c r="G76" s="2">
        <v>2048.0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ht="22.5" customHeight="1">
      <c r="A77" s="2">
        <v>4096.0</v>
      </c>
      <c r="B77" s="2">
        <v>15.0</v>
      </c>
      <c r="C77" s="2">
        <v>4111.0</v>
      </c>
      <c r="D77" s="3">
        <v>5.04461E-4</v>
      </c>
      <c r="E77" s="3">
        <v>5.75302E-4</v>
      </c>
      <c r="F77" s="2">
        <v>10.0</v>
      </c>
      <c r="G77" s="2">
        <v>2048.0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ht="22.5" customHeight="1">
      <c r="A78" s="2">
        <v>4096.0</v>
      </c>
      <c r="B78" s="2">
        <v>16.0</v>
      </c>
      <c r="C78" s="2">
        <v>4112.0</v>
      </c>
      <c r="D78" s="3">
        <v>5.42582E-4</v>
      </c>
      <c r="E78" s="3">
        <v>5.67728E-4</v>
      </c>
      <c r="F78" s="2">
        <v>10.0</v>
      </c>
      <c r="G78" s="2">
        <v>2048.0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ht="22.5" customHeight="1">
      <c r="A79" s="2">
        <v>4096.0</v>
      </c>
      <c r="B79" s="2">
        <v>17.0</v>
      </c>
      <c r="C79" s="2">
        <v>4113.0</v>
      </c>
      <c r="D79" s="3">
        <v>8.78037E-4</v>
      </c>
      <c r="E79" s="3">
        <v>8.06183E-4</v>
      </c>
      <c r="F79" s="2">
        <v>10.0</v>
      </c>
      <c r="G79" s="2">
        <v>2048.0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ht="22.5" customHeight="1">
      <c r="A80" s="2">
        <v>4096.0</v>
      </c>
      <c r="B80" s="2">
        <v>18.0</v>
      </c>
      <c r="C80" s="2">
        <v>4114.0</v>
      </c>
      <c r="D80" s="3">
        <v>5.53111E-4</v>
      </c>
      <c r="E80" s="3">
        <v>5.35348E-4</v>
      </c>
      <c r="F80" s="2">
        <v>10.0</v>
      </c>
      <c r="G80" s="2">
        <v>2048.0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ht="22.5" customHeight="1">
      <c r="A81" s="2">
        <v>4096.0</v>
      </c>
      <c r="B81" s="2">
        <v>19.0</v>
      </c>
      <c r="C81" s="2">
        <v>4115.0</v>
      </c>
      <c r="D81" s="3">
        <v>5.16342E-4</v>
      </c>
      <c r="E81" s="3">
        <v>5.63862E-4</v>
      </c>
      <c r="F81" s="2">
        <v>10.0</v>
      </c>
      <c r="G81" s="2">
        <v>2048.0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ht="22.5" customHeight="1">
      <c r="A82" s="2">
        <v>4096.0</v>
      </c>
      <c r="B82" s="2">
        <v>20.0</v>
      </c>
      <c r="C82" s="2">
        <v>4116.0</v>
      </c>
      <c r="D82" s="3">
        <v>7.89182E-4</v>
      </c>
      <c r="E82" s="3">
        <v>8.59413E-4</v>
      </c>
      <c r="F82" s="2">
        <v>10.0</v>
      </c>
      <c r="G82" s="2">
        <v>2048.0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ht="22.5" customHeight="1">
      <c r="A83" s="2">
        <v>4096.0</v>
      </c>
      <c r="B83" s="2">
        <v>21.0</v>
      </c>
      <c r="C83" s="2">
        <v>4117.0</v>
      </c>
      <c r="D83" s="3">
        <v>4.81909E-4</v>
      </c>
      <c r="E83" s="3">
        <v>5.22474E-4</v>
      </c>
      <c r="F83" s="2">
        <v>10.0</v>
      </c>
      <c r="G83" s="2">
        <v>2048.0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ht="22.5" customHeight="1">
      <c r="A84" s="2">
        <v>4096.0</v>
      </c>
      <c r="B84" s="2">
        <v>22.0</v>
      </c>
      <c r="C84" s="2">
        <v>4118.0</v>
      </c>
      <c r="D84" s="3">
        <v>5.3119E-4</v>
      </c>
      <c r="E84" s="3">
        <v>5.5751E-4</v>
      </c>
      <c r="F84" s="2">
        <v>10.0</v>
      </c>
      <c r="G84" s="2">
        <v>2048.0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ht="22.5" customHeight="1">
      <c r="A85" s="2">
        <v>4096.0</v>
      </c>
      <c r="B85" s="2">
        <v>23.0</v>
      </c>
      <c r="C85" s="2">
        <v>4119.0</v>
      </c>
      <c r="D85" s="3">
        <v>5.11674E-4</v>
      </c>
      <c r="E85" s="3">
        <v>5.6885E-4</v>
      </c>
      <c r="F85" s="2">
        <v>10.0</v>
      </c>
      <c r="G85" s="2">
        <v>2048.0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ht="22.5" customHeight="1">
      <c r="A86" s="2">
        <v>4096.0</v>
      </c>
      <c r="B86" s="2">
        <v>24.0</v>
      </c>
      <c r="C86" s="2">
        <v>4120.0</v>
      </c>
      <c r="D86" s="3">
        <v>5.8997E-4</v>
      </c>
      <c r="E86" s="3">
        <v>5.79449E-4</v>
      </c>
      <c r="F86" s="2">
        <v>10.0</v>
      </c>
      <c r="G86" s="2">
        <v>2048.0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ht="22.5" customHeight="1">
      <c r="A87" s="2">
        <v>4096.0</v>
      </c>
      <c r="B87" s="2">
        <v>25.0</v>
      </c>
      <c r="C87" s="2">
        <v>4121.0</v>
      </c>
      <c r="D87" s="3">
        <v>5.39095E-4</v>
      </c>
      <c r="E87" s="3">
        <v>5.62188E-4</v>
      </c>
      <c r="F87" s="2">
        <v>10.0</v>
      </c>
      <c r="G87" s="2">
        <v>2048.0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ht="22.5" customHeight="1">
      <c r="A88" s="2">
        <v>4096.0</v>
      </c>
      <c r="B88" s="2">
        <v>26.0</v>
      </c>
      <c r="C88" s="2">
        <v>4122.0</v>
      </c>
      <c r="D88" s="3">
        <v>5.45406E-4</v>
      </c>
      <c r="E88" s="3">
        <v>5.09801E-4</v>
      </c>
      <c r="F88" s="2">
        <v>10.0</v>
      </c>
      <c r="G88" s="2">
        <v>2048.0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ht="22.5" customHeight="1">
      <c r="A89" s="2">
        <v>4096.0</v>
      </c>
      <c r="B89" s="2">
        <v>27.0</v>
      </c>
      <c r="C89" s="2">
        <v>4123.0</v>
      </c>
      <c r="D89" s="3">
        <v>5.4202E-4</v>
      </c>
      <c r="E89" s="3">
        <v>5.51828E-4</v>
      </c>
      <c r="F89" s="2">
        <v>10.0</v>
      </c>
      <c r="G89" s="2">
        <v>2048.0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ht="22.5" customHeight="1">
      <c r="A90" s="2">
        <v>4096.0</v>
      </c>
      <c r="B90" s="2">
        <v>28.0</v>
      </c>
      <c r="C90" s="2">
        <v>4124.0</v>
      </c>
      <c r="D90" s="3">
        <v>5.46529E-4</v>
      </c>
      <c r="E90" s="3">
        <v>5.49033E-4</v>
      </c>
      <c r="F90" s="2">
        <v>10.0</v>
      </c>
      <c r="G90" s="2">
        <v>2048.0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ht="22.5" customHeight="1">
      <c r="A91" s="2">
        <v>4096.0</v>
      </c>
      <c r="B91" s="2">
        <v>29.0</v>
      </c>
      <c r="C91" s="2">
        <v>4125.0</v>
      </c>
      <c r="D91" s="3">
        <v>5.55926E-4</v>
      </c>
      <c r="E91" s="3">
        <v>5.22814E-4</v>
      </c>
      <c r="F91" s="2">
        <v>10.0</v>
      </c>
      <c r="G91" s="2">
        <v>2048.0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ht="22.5" customHeight="1">
      <c r="A92" s="2">
        <v>8192.0</v>
      </c>
      <c r="B92" s="2">
        <v>0.0</v>
      </c>
      <c r="C92" s="2">
        <v>8192.0</v>
      </c>
      <c r="D92" s="3">
        <v>9.57976E-4</v>
      </c>
      <c r="E92" s="3">
        <v>9.32448E-4</v>
      </c>
      <c r="F92" s="2">
        <v>11.0</v>
      </c>
      <c r="G92" s="2">
        <v>4096.0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ht="22.5" customHeight="1">
      <c r="A93" s="2">
        <v>8192.0</v>
      </c>
      <c r="B93" s="2">
        <v>1.0</v>
      </c>
      <c r="C93" s="2">
        <v>8193.0</v>
      </c>
      <c r="D93" s="3">
        <v>9.25165E-4</v>
      </c>
      <c r="E93" s="3">
        <v>9.72442E-4</v>
      </c>
      <c r="F93" s="2">
        <v>11.0</v>
      </c>
      <c r="G93" s="2">
        <v>4096.0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ht="22.5" customHeight="1">
      <c r="A94" s="2">
        <v>8192.0</v>
      </c>
      <c r="B94" s="2">
        <v>2.0</v>
      </c>
      <c r="C94" s="2">
        <v>8194.0</v>
      </c>
      <c r="D94" s="3">
        <v>9.70068E-4</v>
      </c>
      <c r="E94" s="3">
        <v>9.32128E-4</v>
      </c>
      <c r="F94" s="2">
        <v>11.0</v>
      </c>
      <c r="G94" s="2">
        <v>4096.0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ht="22.5" customHeight="1">
      <c r="A95" s="2">
        <v>8192.0</v>
      </c>
      <c r="B95" s="2">
        <v>3.0</v>
      </c>
      <c r="C95" s="2">
        <v>8195.0</v>
      </c>
      <c r="D95" s="3">
        <v>9.43749E-4</v>
      </c>
      <c r="E95" s="3">
        <v>9.90757E-4</v>
      </c>
      <c r="F95" s="2">
        <v>11.0</v>
      </c>
      <c r="G95" s="2">
        <v>4096.0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ht="22.5" customHeight="1">
      <c r="A96" s="2">
        <v>8192.0</v>
      </c>
      <c r="B96" s="2">
        <v>4.0</v>
      </c>
      <c r="C96" s="2">
        <v>8196.0</v>
      </c>
      <c r="D96" s="3">
        <v>8.38423E-4</v>
      </c>
      <c r="E96" s="3">
        <v>8.30689E-4</v>
      </c>
      <c r="F96" s="2">
        <v>11.0</v>
      </c>
      <c r="G96" s="2">
        <v>4096.0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ht="22.5" customHeight="1">
      <c r="A97" s="2">
        <v>8192.0</v>
      </c>
      <c r="B97" s="2">
        <v>5.0</v>
      </c>
      <c r="C97" s="2">
        <v>8197.0</v>
      </c>
      <c r="D97" s="3">
        <v>7.87707E-4</v>
      </c>
      <c r="E97" s="3">
        <v>8.32501E-4</v>
      </c>
      <c r="F97" s="2">
        <v>11.0</v>
      </c>
      <c r="G97" s="2">
        <v>4096.0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ht="22.5" customHeight="1">
      <c r="A98" s="2">
        <v>8192.0</v>
      </c>
      <c r="B98" s="2">
        <v>6.0</v>
      </c>
      <c r="C98" s="2">
        <v>8198.0</v>
      </c>
      <c r="D98" s="3">
        <v>8.12885E-4</v>
      </c>
      <c r="E98" s="3">
        <v>8.3145E-4</v>
      </c>
      <c r="F98" s="2">
        <v>11.0</v>
      </c>
      <c r="G98" s="2">
        <v>4096.0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ht="22.5" customHeight="1">
      <c r="A99" s="2">
        <v>8192.0</v>
      </c>
      <c r="B99" s="2">
        <v>7.0</v>
      </c>
      <c r="C99" s="2">
        <v>8199.0</v>
      </c>
      <c r="D99" s="3">
        <v>7.3492E-4</v>
      </c>
      <c r="E99" s="3">
        <v>8.26561E-4</v>
      </c>
      <c r="F99" s="2">
        <v>11.0</v>
      </c>
      <c r="G99" s="2">
        <v>4096.0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ht="22.5" customHeight="1">
      <c r="A100" s="2">
        <v>8192.0</v>
      </c>
      <c r="B100" s="2">
        <v>8.0</v>
      </c>
      <c r="C100" s="2">
        <v>8200.0</v>
      </c>
      <c r="D100" s="3">
        <v>8.19357E-4</v>
      </c>
      <c r="E100" s="3">
        <v>8.05402E-4</v>
      </c>
      <c r="F100" s="2">
        <v>11.0</v>
      </c>
      <c r="G100" s="2">
        <v>4096.0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ht="22.5" customHeight="1">
      <c r="A101" s="2">
        <v>8192.0</v>
      </c>
      <c r="B101" s="2">
        <v>9.0</v>
      </c>
      <c r="C101" s="2">
        <v>8201.0</v>
      </c>
      <c r="D101" s="3">
        <v>7.45099E-4</v>
      </c>
      <c r="E101" s="3">
        <v>8.2072E-4</v>
      </c>
      <c r="F101" s="2">
        <v>11.0</v>
      </c>
      <c r="G101" s="2">
        <v>4096.0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ht="22.5" customHeight="1">
      <c r="A102" s="2">
        <v>8192.0</v>
      </c>
      <c r="B102" s="2">
        <v>10.0</v>
      </c>
      <c r="C102" s="2">
        <v>8202.0</v>
      </c>
      <c r="D102" s="3">
        <v>7.85936E-4</v>
      </c>
      <c r="E102" s="3">
        <v>7.85955E-4</v>
      </c>
      <c r="F102" s="2">
        <v>11.0</v>
      </c>
      <c r="G102" s="2">
        <v>4096.0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ht="22.5" customHeight="1">
      <c r="A103" s="2">
        <v>8192.0</v>
      </c>
      <c r="B103" s="2">
        <v>11.0</v>
      </c>
      <c r="C103" s="2">
        <v>8203.0</v>
      </c>
      <c r="D103" s="3">
        <v>6.04497E-4</v>
      </c>
      <c r="E103" s="3">
        <v>7.45861E-4</v>
      </c>
      <c r="F103" s="2">
        <v>11.0</v>
      </c>
      <c r="G103" s="2">
        <v>4096.0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ht="22.5" customHeight="1">
      <c r="A104" s="2">
        <v>8192.0</v>
      </c>
      <c r="B104" s="2">
        <v>12.0</v>
      </c>
      <c r="C104" s="2">
        <v>8204.0</v>
      </c>
      <c r="D104" s="3">
        <v>8.31751E-4</v>
      </c>
      <c r="E104" s="3">
        <v>8.14097E-4</v>
      </c>
      <c r="F104" s="2">
        <v>11.0</v>
      </c>
      <c r="G104" s="2">
        <v>4096.0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ht="22.5" customHeight="1">
      <c r="A105" s="2">
        <v>8192.0</v>
      </c>
      <c r="B105" s="2">
        <v>13.0</v>
      </c>
      <c r="C105" s="2">
        <v>8205.0</v>
      </c>
      <c r="D105" s="3">
        <v>7.89993E-4</v>
      </c>
      <c r="E105" s="3">
        <v>8.51367E-4</v>
      </c>
      <c r="F105" s="2">
        <v>11.0</v>
      </c>
      <c r="G105" s="2">
        <v>4096.0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ht="22.5" customHeight="1">
      <c r="A106" s="2">
        <v>8192.0</v>
      </c>
      <c r="B106" s="2">
        <v>14.0</v>
      </c>
      <c r="C106" s="2">
        <v>8206.0</v>
      </c>
      <c r="D106" s="3">
        <v>8.29296E-4</v>
      </c>
      <c r="E106" s="3">
        <v>8.12705E-4</v>
      </c>
      <c r="F106" s="2">
        <v>11.0</v>
      </c>
      <c r="G106" s="2">
        <v>4096.0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ht="22.5" customHeight="1">
      <c r="A107" s="2">
        <v>8192.0</v>
      </c>
      <c r="B107" s="2">
        <v>15.0</v>
      </c>
      <c r="C107" s="2">
        <v>8207.0</v>
      </c>
      <c r="D107" s="3">
        <v>8.09109E-4</v>
      </c>
      <c r="E107" s="3">
        <v>8.21902E-4</v>
      </c>
      <c r="F107" s="2">
        <v>11.0</v>
      </c>
      <c r="G107" s="2">
        <v>4096.0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ht="22.5" customHeight="1">
      <c r="A108" s="2">
        <v>8192.0</v>
      </c>
      <c r="B108" s="2">
        <v>16.0</v>
      </c>
      <c r="C108" s="2">
        <v>8208.0</v>
      </c>
      <c r="D108" s="3">
        <v>7.7834E-4</v>
      </c>
      <c r="E108" s="3">
        <v>7.96625E-4</v>
      </c>
      <c r="F108" s="2">
        <v>11.0</v>
      </c>
      <c r="G108" s="2">
        <v>4096.0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ht="22.5" customHeight="1">
      <c r="A109" s="2">
        <v>8192.0</v>
      </c>
      <c r="B109" s="2">
        <v>17.0</v>
      </c>
      <c r="C109" s="2">
        <v>8209.0</v>
      </c>
      <c r="D109" s="3">
        <v>8.01374E-4</v>
      </c>
      <c r="E109" s="3">
        <v>8.34696E-4</v>
      </c>
      <c r="F109" s="2">
        <v>11.0</v>
      </c>
      <c r="G109" s="2">
        <v>4096.0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ht="22.5" customHeight="1">
      <c r="A110" s="2">
        <v>8192.0</v>
      </c>
      <c r="B110" s="2">
        <v>18.0</v>
      </c>
      <c r="C110" s="2">
        <v>8210.0</v>
      </c>
      <c r="D110" s="3">
        <v>7.97266E-4</v>
      </c>
      <c r="E110" s="3">
        <v>7.74984E-4</v>
      </c>
      <c r="F110" s="2">
        <v>11.0</v>
      </c>
      <c r="G110" s="2">
        <v>4096.0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ht="22.5" customHeight="1">
      <c r="A111" s="2">
        <v>8192.0</v>
      </c>
      <c r="B111" s="2">
        <v>19.0</v>
      </c>
      <c r="C111" s="2">
        <v>8211.0</v>
      </c>
      <c r="D111" s="3">
        <v>7.49207E-4</v>
      </c>
      <c r="E111" s="3">
        <v>9.17029E-4</v>
      </c>
      <c r="F111" s="2">
        <v>11.0</v>
      </c>
      <c r="G111" s="2">
        <v>4096.0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ht="22.5" customHeight="1">
      <c r="A112" s="2">
        <v>8192.0</v>
      </c>
      <c r="B112" s="2">
        <v>20.0</v>
      </c>
      <c r="C112" s="2">
        <v>8212.0</v>
      </c>
      <c r="D112" s="3">
        <v>8.27333E-4</v>
      </c>
      <c r="E112" s="3">
        <v>7.92407E-4</v>
      </c>
      <c r="F112" s="2">
        <v>11.0</v>
      </c>
      <c r="G112" s="2">
        <v>4096.0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ht="22.5" customHeight="1">
      <c r="A113" s="2">
        <v>8192.0</v>
      </c>
      <c r="B113" s="2">
        <v>21.0</v>
      </c>
      <c r="C113" s="2">
        <v>8213.0</v>
      </c>
      <c r="D113" s="3">
        <v>8.311E-4</v>
      </c>
      <c r="E113" s="3">
        <v>8.58751E-4</v>
      </c>
      <c r="F113" s="2">
        <v>11.0</v>
      </c>
      <c r="G113" s="2">
        <v>4096.0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ht="22.5" customHeight="1">
      <c r="A114" s="2">
        <v>8192.0</v>
      </c>
      <c r="B114" s="2">
        <v>22.0</v>
      </c>
      <c r="C114" s="2">
        <v>8214.0</v>
      </c>
      <c r="D114" s="3">
        <v>7.94541E-4</v>
      </c>
      <c r="E114" s="3">
        <v>8.26631E-4</v>
      </c>
      <c r="F114" s="2">
        <v>11.0</v>
      </c>
      <c r="G114" s="2">
        <v>4096.0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ht="22.5" customHeight="1">
      <c r="A115" s="2">
        <v>8192.0</v>
      </c>
      <c r="B115" s="2">
        <v>23.0</v>
      </c>
      <c r="C115" s="2">
        <v>8215.0</v>
      </c>
      <c r="D115" s="3">
        <v>7.81056E-4</v>
      </c>
      <c r="E115" s="3">
        <v>8.23686E-4</v>
      </c>
      <c r="F115" s="2">
        <v>11.0</v>
      </c>
      <c r="G115" s="2">
        <v>4096.0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ht="22.5" customHeight="1">
      <c r="A116" s="2">
        <v>8192.0</v>
      </c>
      <c r="B116" s="2">
        <v>24.0</v>
      </c>
      <c r="C116" s="2">
        <v>8216.0</v>
      </c>
      <c r="D116" s="3">
        <v>9.121E-4</v>
      </c>
      <c r="E116" s="3">
        <v>7.98799E-4</v>
      </c>
      <c r="F116" s="2">
        <v>11.0</v>
      </c>
      <c r="G116" s="2">
        <v>4096.0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ht="22.5" customHeight="1">
      <c r="A117" s="2">
        <v>8192.0</v>
      </c>
      <c r="B117" s="2">
        <v>25.0</v>
      </c>
      <c r="C117" s="2">
        <v>8217.0</v>
      </c>
      <c r="D117" s="3">
        <v>8.02607E-4</v>
      </c>
      <c r="E117" s="3">
        <v>8.04489E-4</v>
      </c>
      <c r="F117" s="2">
        <v>11.0</v>
      </c>
      <c r="G117" s="2">
        <v>4096.0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ht="22.5" customHeight="1">
      <c r="A118" s="2">
        <v>8192.0</v>
      </c>
      <c r="B118" s="2">
        <v>26.0</v>
      </c>
      <c r="C118" s="2">
        <v>8218.0</v>
      </c>
      <c r="D118" s="3">
        <v>8.44764E-4</v>
      </c>
      <c r="E118" s="3">
        <v>7.9944E-4</v>
      </c>
      <c r="F118" s="2">
        <v>11.0</v>
      </c>
      <c r="G118" s="2">
        <v>4096.0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ht="22.5" customHeight="1">
      <c r="A119" s="2">
        <v>8192.0</v>
      </c>
      <c r="B119" s="2">
        <v>27.0</v>
      </c>
      <c r="C119" s="2">
        <v>8219.0</v>
      </c>
      <c r="D119" s="3">
        <v>7.85074E-4</v>
      </c>
      <c r="E119" s="3">
        <v>8.33191E-4</v>
      </c>
      <c r="F119" s="2">
        <v>11.0</v>
      </c>
      <c r="G119" s="2">
        <v>4096.0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ht="22.5" customHeight="1">
      <c r="A120" s="2">
        <v>8192.0</v>
      </c>
      <c r="B120" s="2">
        <v>28.0</v>
      </c>
      <c r="C120" s="2">
        <v>8220.0</v>
      </c>
      <c r="D120" s="3">
        <v>8.06524E-4</v>
      </c>
      <c r="E120" s="3">
        <v>7.96324E-4</v>
      </c>
      <c r="F120" s="2">
        <v>11.0</v>
      </c>
      <c r="G120" s="2">
        <v>4096.0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ht="22.5" customHeight="1">
      <c r="A121" s="2">
        <v>8192.0</v>
      </c>
      <c r="B121" s="2">
        <v>29.0</v>
      </c>
      <c r="C121" s="2">
        <v>8221.0</v>
      </c>
      <c r="D121" s="3">
        <v>7.90964E-4</v>
      </c>
      <c r="E121" s="3">
        <v>7.80335E-4</v>
      </c>
      <c r="F121" s="2">
        <v>11.0</v>
      </c>
      <c r="G121" s="2">
        <v>4096.0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ht="22.5" customHeight="1">
      <c r="A122" s="2">
        <v>16384.0</v>
      </c>
      <c r="B122" s="2">
        <v>0.0</v>
      </c>
      <c r="C122" s="2">
        <v>16384.0</v>
      </c>
      <c r="D122" s="3">
        <v>0.001701381</v>
      </c>
      <c r="E122" s="3">
        <v>0.001693557</v>
      </c>
      <c r="F122" s="2">
        <v>12.0</v>
      </c>
      <c r="G122" s="2">
        <v>8192.0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ht="22.5" customHeight="1">
      <c r="A123" s="2">
        <v>16384.0</v>
      </c>
      <c r="B123" s="2">
        <v>1.0</v>
      </c>
      <c r="C123" s="2">
        <v>16385.0</v>
      </c>
      <c r="D123" s="3">
        <v>0.001360446</v>
      </c>
      <c r="E123" s="3">
        <v>0.001419526</v>
      </c>
      <c r="F123" s="2">
        <v>12.0</v>
      </c>
      <c r="G123" s="2">
        <v>8192.0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ht="22.5" customHeight="1">
      <c r="A124" s="2">
        <v>16384.0</v>
      </c>
      <c r="B124" s="2">
        <v>2.0</v>
      </c>
      <c r="C124" s="2">
        <v>16386.0</v>
      </c>
      <c r="D124" s="3">
        <v>0.001401642</v>
      </c>
      <c r="E124" s="3">
        <v>0.001372449</v>
      </c>
      <c r="F124" s="2">
        <v>12.0</v>
      </c>
      <c r="G124" s="2">
        <v>8192.0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ht="22.5" customHeight="1">
      <c r="A125" s="2">
        <v>16384.0</v>
      </c>
      <c r="B125" s="2">
        <v>3.0</v>
      </c>
      <c r="C125" s="2">
        <v>16387.0</v>
      </c>
      <c r="D125" s="3">
        <v>0.001351218</v>
      </c>
      <c r="E125" s="3">
        <v>0.001539891</v>
      </c>
      <c r="F125" s="2">
        <v>12.0</v>
      </c>
      <c r="G125" s="2">
        <v>8192.0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ht="22.5" customHeight="1">
      <c r="A126" s="2">
        <v>16384.0</v>
      </c>
      <c r="B126" s="2">
        <v>4.0</v>
      </c>
      <c r="C126" s="2">
        <v>16388.0</v>
      </c>
      <c r="D126" s="3">
        <v>0.001338484</v>
      </c>
      <c r="E126" s="3">
        <v>0.001336281</v>
      </c>
      <c r="F126" s="2">
        <v>12.0</v>
      </c>
      <c r="G126" s="2">
        <v>8192.0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ht="22.5" customHeight="1">
      <c r="A127" s="2">
        <v>16384.0</v>
      </c>
      <c r="B127" s="2">
        <v>5.0</v>
      </c>
      <c r="C127" s="2">
        <v>16389.0</v>
      </c>
      <c r="D127" s="3">
        <v>0.001381636</v>
      </c>
      <c r="E127" s="3">
        <v>0.001396614</v>
      </c>
      <c r="F127" s="2">
        <v>12.0</v>
      </c>
      <c r="G127" s="2">
        <v>8192.0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ht="22.5" customHeight="1">
      <c r="A128" s="2">
        <v>16384.0</v>
      </c>
      <c r="B128" s="2">
        <v>6.0</v>
      </c>
      <c r="C128" s="2">
        <v>16390.0</v>
      </c>
      <c r="D128" s="3">
        <v>0.001482553</v>
      </c>
      <c r="E128" s="3">
        <v>0.001418475</v>
      </c>
      <c r="F128" s="2">
        <v>12.0</v>
      </c>
      <c r="G128" s="2">
        <v>8192.0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ht="22.5" customHeight="1">
      <c r="A129" s="2">
        <v>16384.0</v>
      </c>
      <c r="B129" s="2">
        <v>7.0</v>
      </c>
      <c r="C129" s="2">
        <v>16391.0</v>
      </c>
      <c r="D129" s="3">
        <v>0.001284214</v>
      </c>
      <c r="E129" s="3">
        <v>0.001346089</v>
      </c>
      <c r="F129" s="2">
        <v>12.0</v>
      </c>
      <c r="G129" s="2">
        <v>8192.0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ht="22.5" customHeight="1">
      <c r="A130" s="2">
        <v>16384.0</v>
      </c>
      <c r="B130" s="2">
        <v>8.0</v>
      </c>
      <c r="C130" s="2">
        <v>16392.0</v>
      </c>
      <c r="D130" s="3">
        <v>0.001771642</v>
      </c>
      <c r="E130" s="3">
        <v>0.001421039</v>
      </c>
      <c r="F130" s="2">
        <v>12.0</v>
      </c>
      <c r="G130" s="2">
        <v>8192.0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ht="22.5" customHeight="1">
      <c r="A131" s="2">
        <v>16384.0</v>
      </c>
      <c r="B131" s="2">
        <v>9.0</v>
      </c>
      <c r="C131" s="2">
        <v>16393.0</v>
      </c>
      <c r="D131" s="3">
        <v>0.001401152</v>
      </c>
      <c r="E131" s="3">
        <v>0.001580216</v>
      </c>
      <c r="F131" s="2">
        <v>12.0</v>
      </c>
      <c r="G131" s="2">
        <v>8192.0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ht="22.5" customHeight="1">
      <c r="A132" s="2">
        <v>16384.0</v>
      </c>
      <c r="B132" s="2">
        <v>10.0</v>
      </c>
      <c r="C132" s="2">
        <v>16394.0</v>
      </c>
      <c r="D132" s="3">
        <v>0.002198619</v>
      </c>
      <c r="E132" s="3">
        <v>0.001529331</v>
      </c>
      <c r="F132" s="2">
        <v>12.0</v>
      </c>
      <c r="G132" s="2">
        <v>8192.0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ht="22.5" customHeight="1">
      <c r="A133" s="2">
        <v>16384.0</v>
      </c>
      <c r="B133" s="2">
        <v>11.0</v>
      </c>
      <c r="C133" s="2">
        <v>16395.0</v>
      </c>
      <c r="D133" s="3">
        <v>0.001398938</v>
      </c>
      <c r="E133" s="3">
        <v>0.001543046</v>
      </c>
      <c r="F133" s="2">
        <v>12.0</v>
      </c>
      <c r="G133" s="2">
        <v>8192.0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ht="22.5" customHeight="1">
      <c r="A134" s="2">
        <v>16384.0</v>
      </c>
      <c r="B134" s="2">
        <v>12.0</v>
      </c>
      <c r="C134" s="2">
        <v>16396.0</v>
      </c>
      <c r="D134" s="3">
        <v>0.001452677</v>
      </c>
      <c r="E134" s="3">
        <v>0.00161508</v>
      </c>
      <c r="F134" s="2">
        <v>12.0</v>
      </c>
      <c r="G134" s="2">
        <v>8192.0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ht="22.5" customHeight="1">
      <c r="A135" s="2">
        <v>16384.0</v>
      </c>
      <c r="B135" s="2">
        <v>13.0</v>
      </c>
      <c r="C135" s="2">
        <v>16397.0</v>
      </c>
      <c r="D135" s="3">
        <v>0.001756854</v>
      </c>
      <c r="E135" s="3">
        <v>0.002318342</v>
      </c>
      <c r="F135" s="2">
        <v>12.0</v>
      </c>
      <c r="G135" s="2">
        <v>8192.0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ht="22.5" customHeight="1">
      <c r="A136" s="2">
        <v>16384.0</v>
      </c>
      <c r="B136" s="2">
        <v>14.0</v>
      </c>
      <c r="C136" s="2">
        <v>16398.0</v>
      </c>
      <c r="D136" s="3">
        <v>0.002038651</v>
      </c>
      <c r="E136" s="3">
        <v>0.001744372</v>
      </c>
      <c r="F136" s="2">
        <v>12.0</v>
      </c>
      <c r="G136" s="2">
        <v>8192.0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ht="22.5" customHeight="1">
      <c r="A137" s="2">
        <v>16384.0</v>
      </c>
      <c r="B137" s="2">
        <v>15.0</v>
      </c>
      <c r="C137" s="2">
        <v>16399.0</v>
      </c>
      <c r="D137" s="3">
        <v>0.001322045</v>
      </c>
      <c r="E137" s="3">
        <v>0.001651488</v>
      </c>
      <c r="F137" s="2">
        <v>12.0</v>
      </c>
      <c r="G137" s="2">
        <v>8192.0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ht="22.5" customHeight="1">
      <c r="A138" s="2">
        <v>16384.0</v>
      </c>
      <c r="B138" s="2">
        <v>16.0</v>
      </c>
      <c r="C138" s="2">
        <v>16400.0</v>
      </c>
      <c r="D138" s="3">
        <v>0.00136817</v>
      </c>
      <c r="E138" s="3">
        <v>0.001295294</v>
      </c>
      <c r="F138" s="2">
        <v>12.0</v>
      </c>
      <c r="G138" s="2">
        <v>8192.0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ht="22.5" customHeight="1">
      <c r="A139" s="2">
        <v>16384.0</v>
      </c>
      <c r="B139" s="2">
        <v>17.0</v>
      </c>
      <c r="C139" s="2">
        <v>16401.0</v>
      </c>
      <c r="D139" s="3">
        <v>0.001276148</v>
      </c>
      <c r="E139" s="3">
        <v>0.001342162</v>
      </c>
      <c r="F139" s="2">
        <v>12.0</v>
      </c>
      <c r="G139" s="2">
        <v>8192.0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ht="22.5" customHeight="1">
      <c r="A140" s="2">
        <v>16384.0</v>
      </c>
      <c r="B140" s="2">
        <v>18.0</v>
      </c>
      <c r="C140" s="2">
        <v>16402.0</v>
      </c>
      <c r="D140" s="3">
        <v>0.001321844</v>
      </c>
      <c r="E140" s="3">
        <v>0.001338765</v>
      </c>
      <c r="F140" s="2">
        <v>12.0</v>
      </c>
      <c r="G140" s="2">
        <v>8192.0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ht="22.5" customHeight="1">
      <c r="A141" s="2">
        <v>16384.0</v>
      </c>
      <c r="B141" s="2">
        <v>19.0</v>
      </c>
      <c r="C141" s="2">
        <v>16403.0</v>
      </c>
      <c r="D141" s="3">
        <v>0.001259648</v>
      </c>
      <c r="E141" s="3">
        <v>0.001405981</v>
      </c>
      <c r="F141" s="2">
        <v>12.0</v>
      </c>
      <c r="G141" s="2">
        <v>8192.0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ht="22.5" customHeight="1">
      <c r="A142" s="2">
        <v>16384.0</v>
      </c>
      <c r="B142" s="2">
        <v>20.0</v>
      </c>
      <c r="C142" s="2">
        <v>16404.0</v>
      </c>
      <c r="D142" s="3">
        <v>0.001946829</v>
      </c>
      <c r="E142" s="3">
        <v>0.001438301</v>
      </c>
      <c r="F142" s="2">
        <v>12.0</v>
      </c>
      <c r="G142" s="2">
        <v>8192.0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ht="22.5" customHeight="1">
      <c r="A143" s="2">
        <v>16384.0</v>
      </c>
      <c r="B143" s="2">
        <v>21.0</v>
      </c>
      <c r="C143" s="2">
        <v>16405.0</v>
      </c>
      <c r="D143" s="3">
        <v>0.00140029</v>
      </c>
      <c r="E143" s="3">
        <v>0.001755393</v>
      </c>
      <c r="F143" s="2">
        <v>12.0</v>
      </c>
      <c r="G143" s="2">
        <v>8192.0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ht="22.5" customHeight="1">
      <c r="A144" s="2">
        <v>16384.0</v>
      </c>
      <c r="B144" s="2">
        <v>22.0</v>
      </c>
      <c r="C144" s="2">
        <v>16406.0</v>
      </c>
      <c r="D144" s="3">
        <v>0.001511388</v>
      </c>
      <c r="E144" s="3">
        <v>0.001336181</v>
      </c>
      <c r="F144" s="2">
        <v>12.0</v>
      </c>
      <c r="G144" s="2">
        <v>8192.0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ht="22.5" customHeight="1">
      <c r="A145" s="2">
        <v>16384.0</v>
      </c>
      <c r="B145" s="2">
        <v>23.0</v>
      </c>
      <c r="C145" s="2">
        <v>16407.0</v>
      </c>
      <c r="D145" s="3">
        <v>0.002168513</v>
      </c>
      <c r="E145" s="3">
        <v>0.002472248</v>
      </c>
      <c r="F145" s="2">
        <v>12.0</v>
      </c>
      <c r="G145" s="2">
        <v>8192.0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ht="22.5" customHeight="1">
      <c r="A146" s="2">
        <v>16384.0</v>
      </c>
      <c r="B146" s="2">
        <v>24.0</v>
      </c>
      <c r="C146" s="2">
        <v>16408.0</v>
      </c>
      <c r="D146" s="3">
        <v>0.001935638</v>
      </c>
      <c r="E146" s="3">
        <v>0.001457467</v>
      </c>
      <c r="F146" s="2">
        <v>12.0</v>
      </c>
      <c r="G146" s="2">
        <v>8192.0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ht="22.5" customHeight="1">
      <c r="A147" s="2">
        <v>16384.0</v>
      </c>
      <c r="B147" s="2">
        <v>25.0</v>
      </c>
      <c r="C147" s="2">
        <v>16409.0</v>
      </c>
      <c r="D147" s="3">
        <v>0.00137889</v>
      </c>
      <c r="E147" s="3">
        <v>0.001707363</v>
      </c>
      <c r="F147" s="2">
        <v>12.0</v>
      </c>
      <c r="G147" s="2">
        <v>8192.0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ht="22.5" customHeight="1">
      <c r="A148" s="2">
        <v>16384.0</v>
      </c>
      <c r="B148" s="2">
        <v>26.0</v>
      </c>
      <c r="C148" s="2">
        <v>16410.0</v>
      </c>
      <c r="D148" s="3">
        <v>0.001547515</v>
      </c>
      <c r="E148" s="3">
        <v>0.001507731</v>
      </c>
      <c r="F148" s="2">
        <v>12.0</v>
      </c>
      <c r="G148" s="2">
        <v>8192.0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ht="22.5" customHeight="1">
      <c r="A149" s="2">
        <v>16384.0</v>
      </c>
      <c r="B149" s="2">
        <v>27.0</v>
      </c>
      <c r="C149" s="2">
        <v>16411.0</v>
      </c>
      <c r="D149" s="3">
        <v>0.001370304</v>
      </c>
      <c r="E149" s="3">
        <v>0.00163626</v>
      </c>
      <c r="F149" s="2">
        <v>12.0</v>
      </c>
      <c r="G149" s="2">
        <v>8192.0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ht="22.5" customHeight="1">
      <c r="A150" s="2">
        <v>16384.0</v>
      </c>
      <c r="B150" s="2">
        <v>28.0</v>
      </c>
      <c r="C150" s="2">
        <v>16412.0</v>
      </c>
      <c r="D150" s="3">
        <v>0.001644365</v>
      </c>
      <c r="E150" s="3">
        <v>0.001366878</v>
      </c>
      <c r="F150" s="2">
        <v>12.0</v>
      </c>
      <c r="G150" s="2">
        <v>8192.0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ht="22.5" customHeight="1">
      <c r="A151" s="2">
        <v>16384.0</v>
      </c>
      <c r="B151" s="2">
        <v>29.0</v>
      </c>
      <c r="C151" s="2">
        <v>16413.0</v>
      </c>
      <c r="D151" s="3">
        <v>0.00130335</v>
      </c>
      <c r="E151" s="3">
        <v>0.001441096</v>
      </c>
      <c r="F151" s="2">
        <v>12.0</v>
      </c>
      <c r="G151" s="2">
        <v>8192.0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ht="22.5" customHeight="1">
      <c r="A152" s="2">
        <v>32768.0</v>
      </c>
      <c r="B152" s="2">
        <v>0.0</v>
      </c>
      <c r="C152" s="2">
        <v>32768.0</v>
      </c>
      <c r="D152" s="3">
        <v>0.004338868</v>
      </c>
      <c r="E152" s="3">
        <v>0.003284964</v>
      </c>
      <c r="F152" s="2">
        <v>13.0</v>
      </c>
      <c r="G152" s="2">
        <v>16384.0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ht="22.5" customHeight="1">
      <c r="A153" s="2">
        <v>32768.0</v>
      </c>
      <c r="B153" s="2">
        <v>1.0</v>
      </c>
      <c r="C153" s="2">
        <v>32769.0</v>
      </c>
      <c r="D153" s="3">
        <v>0.006205569</v>
      </c>
      <c r="E153" s="3">
        <v>0.007592602</v>
      </c>
      <c r="F153" s="2">
        <v>13.0</v>
      </c>
      <c r="G153" s="2">
        <v>16384.0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ht="22.5" customHeight="1">
      <c r="A154" s="2">
        <v>32768.0</v>
      </c>
      <c r="B154" s="2">
        <v>2.0</v>
      </c>
      <c r="C154" s="2">
        <v>32770.0</v>
      </c>
      <c r="D154" s="3">
        <v>0.007035183</v>
      </c>
      <c r="E154" s="3">
        <v>0.006233507</v>
      </c>
      <c r="F154" s="2">
        <v>13.0</v>
      </c>
      <c r="G154" s="2">
        <v>16384.0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ht="22.5" customHeight="1">
      <c r="A155" s="2">
        <v>32768.0</v>
      </c>
      <c r="B155" s="2">
        <v>3.0</v>
      </c>
      <c r="C155" s="2">
        <v>32771.0</v>
      </c>
      <c r="D155" s="3">
        <v>0.007333688</v>
      </c>
      <c r="E155" s="3">
        <v>0.005119254</v>
      </c>
      <c r="F155" s="2">
        <v>13.0</v>
      </c>
      <c r="G155" s="2">
        <v>16384.0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ht="22.5" customHeight="1">
      <c r="A156" s="2">
        <v>32768.0</v>
      </c>
      <c r="B156" s="2">
        <v>4.0</v>
      </c>
      <c r="C156" s="2">
        <v>32772.0</v>
      </c>
      <c r="D156" s="3">
        <v>0.008058262</v>
      </c>
      <c r="E156" s="3">
        <v>0.006995913</v>
      </c>
      <c r="F156" s="2">
        <v>13.0</v>
      </c>
      <c r="G156" s="2">
        <v>16384.0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ht="22.5" customHeight="1">
      <c r="A157" s="2">
        <v>32768.0</v>
      </c>
      <c r="B157" s="2">
        <v>5.0</v>
      </c>
      <c r="C157" s="2">
        <v>32773.0</v>
      </c>
      <c r="D157" s="3">
        <v>0.002984554</v>
      </c>
      <c r="E157" s="3">
        <v>0.003188354</v>
      </c>
      <c r="F157" s="2">
        <v>13.0</v>
      </c>
      <c r="G157" s="2">
        <v>16384.0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ht="22.5" customHeight="1">
      <c r="A158" s="2">
        <v>32768.0</v>
      </c>
      <c r="B158" s="2">
        <v>6.0</v>
      </c>
      <c r="C158" s="2">
        <v>32774.0</v>
      </c>
      <c r="D158" s="3">
        <v>0.003345586</v>
      </c>
      <c r="E158" s="3">
        <v>0.00389493</v>
      </c>
      <c r="F158" s="2">
        <v>13.0</v>
      </c>
      <c r="G158" s="2">
        <v>16384.0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ht="22.5" customHeight="1">
      <c r="A159" s="2">
        <v>32768.0</v>
      </c>
      <c r="B159" s="2">
        <v>7.0</v>
      </c>
      <c r="C159" s="2">
        <v>32775.0</v>
      </c>
      <c r="D159" s="3">
        <v>0.002822682</v>
      </c>
      <c r="E159" s="3">
        <v>0.00316965</v>
      </c>
      <c r="F159" s="2">
        <v>13.0</v>
      </c>
      <c r="G159" s="2">
        <v>16384.0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ht="22.5" customHeight="1">
      <c r="A160" s="2">
        <v>32768.0</v>
      </c>
      <c r="B160" s="2">
        <v>8.0</v>
      </c>
      <c r="C160" s="2">
        <v>32776.0</v>
      </c>
      <c r="D160" s="3">
        <v>0.004691656</v>
      </c>
      <c r="E160" s="3">
        <v>0.002968864</v>
      </c>
      <c r="F160" s="2">
        <v>13.0</v>
      </c>
      <c r="G160" s="2">
        <v>16384.0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ht="22.5" customHeight="1">
      <c r="A161" s="2">
        <v>32768.0</v>
      </c>
      <c r="B161" s="2">
        <v>9.0</v>
      </c>
      <c r="C161" s="2">
        <v>32777.0</v>
      </c>
      <c r="D161" s="3">
        <v>0.003332703</v>
      </c>
      <c r="E161" s="3">
        <v>0.003238526</v>
      </c>
      <c r="F161" s="2">
        <v>13.0</v>
      </c>
      <c r="G161" s="2">
        <v>16384.0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ht="22.5" customHeight="1">
      <c r="A162" s="2">
        <v>32768.0</v>
      </c>
      <c r="B162" s="2">
        <v>10.0</v>
      </c>
      <c r="C162" s="2">
        <v>32778.0</v>
      </c>
      <c r="D162" s="3">
        <v>0.003158808</v>
      </c>
      <c r="E162" s="3">
        <v>0.002811721</v>
      </c>
      <c r="F162" s="2">
        <v>13.0</v>
      </c>
      <c r="G162" s="2">
        <v>16384.0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ht="22.5" customHeight="1">
      <c r="A163" s="2">
        <v>32768.0</v>
      </c>
      <c r="B163" s="2">
        <v>11.0</v>
      </c>
      <c r="C163" s="2">
        <v>32779.0</v>
      </c>
      <c r="D163" s="3">
        <v>0.003441014</v>
      </c>
      <c r="E163" s="3">
        <v>0.003168066</v>
      </c>
      <c r="F163" s="2">
        <v>13.0</v>
      </c>
      <c r="G163" s="2">
        <v>16384.0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ht="22.5" customHeight="1">
      <c r="A164" s="2">
        <v>32768.0</v>
      </c>
      <c r="B164" s="2">
        <v>12.0</v>
      </c>
      <c r="C164" s="2">
        <v>32780.0</v>
      </c>
      <c r="D164" s="3">
        <v>0.002933158</v>
      </c>
      <c r="E164" s="3">
        <v>0.002791293</v>
      </c>
      <c r="F164" s="2">
        <v>13.0</v>
      </c>
      <c r="G164" s="2">
        <v>16384.0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ht="22.5" customHeight="1">
      <c r="A165" s="2">
        <v>32768.0</v>
      </c>
      <c r="B165" s="2">
        <v>13.0</v>
      </c>
      <c r="C165" s="2">
        <v>32781.0</v>
      </c>
      <c r="D165" s="3">
        <v>0.002781895</v>
      </c>
      <c r="E165" s="3">
        <v>0.003205976</v>
      </c>
      <c r="F165" s="2">
        <v>13.0</v>
      </c>
      <c r="G165" s="2">
        <v>16384.0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ht="22.5" customHeight="1">
      <c r="A166" s="2">
        <v>32768.0</v>
      </c>
      <c r="B166" s="2">
        <v>14.0</v>
      </c>
      <c r="C166" s="2">
        <v>32782.0</v>
      </c>
      <c r="D166" s="3">
        <v>0.002986056</v>
      </c>
      <c r="E166" s="3">
        <v>0.002860092</v>
      </c>
      <c r="F166" s="2">
        <v>13.0</v>
      </c>
      <c r="G166" s="2">
        <v>16384.0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ht="22.5" customHeight="1">
      <c r="A167" s="2">
        <v>32768.0</v>
      </c>
      <c r="B167" s="2">
        <v>15.0</v>
      </c>
      <c r="C167" s="2">
        <v>32783.0</v>
      </c>
      <c r="D167" s="3">
        <v>0.002929661</v>
      </c>
      <c r="E167" s="3">
        <v>0.003715696</v>
      </c>
      <c r="F167" s="2">
        <v>13.0</v>
      </c>
      <c r="G167" s="2">
        <v>16384.0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ht="22.5" customHeight="1">
      <c r="A168" s="2">
        <v>32768.0</v>
      </c>
      <c r="B168" s="2">
        <v>16.0</v>
      </c>
      <c r="C168" s="2">
        <v>32784.0</v>
      </c>
      <c r="D168" s="3">
        <v>0.003276568</v>
      </c>
      <c r="E168" s="3">
        <v>0.002794439</v>
      </c>
      <c r="F168" s="2">
        <v>13.0</v>
      </c>
      <c r="G168" s="2">
        <v>16384.0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ht="22.5" customHeight="1">
      <c r="A169" s="2">
        <v>32768.0</v>
      </c>
      <c r="B169" s="2">
        <v>17.0</v>
      </c>
      <c r="C169" s="2">
        <v>32785.0</v>
      </c>
      <c r="D169" s="3">
        <v>0.002745998</v>
      </c>
      <c r="E169" s="3">
        <v>0.003297657</v>
      </c>
      <c r="F169" s="2">
        <v>13.0</v>
      </c>
      <c r="G169" s="2">
        <v>16384.0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ht="22.5" customHeight="1">
      <c r="A170" s="2">
        <v>32768.0</v>
      </c>
      <c r="B170" s="2">
        <v>18.0</v>
      </c>
      <c r="C170" s="2">
        <v>32786.0</v>
      </c>
      <c r="D170" s="3">
        <v>0.002994883</v>
      </c>
      <c r="E170" s="3">
        <v>0.002819246</v>
      </c>
      <c r="F170" s="2">
        <v>13.0</v>
      </c>
      <c r="G170" s="2">
        <v>16384.0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ht="22.5" customHeight="1">
      <c r="A171" s="2">
        <v>32768.0</v>
      </c>
      <c r="B171" s="2">
        <v>19.0</v>
      </c>
      <c r="C171" s="2">
        <v>32787.0</v>
      </c>
      <c r="D171" s="3">
        <v>0.002693591</v>
      </c>
      <c r="E171" s="3">
        <v>0.003123823</v>
      </c>
      <c r="F171" s="2">
        <v>13.0</v>
      </c>
      <c r="G171" s="2">
        <v>16384.0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ht="22.5" customHeight="1">
      <c r="A172" s="2">
        <v>32768.0</v>
      </c>
      <c r="B172" s="2">
        <v>20.0</v>
      </c>
      <c r="C172" s="2">
        <v>32788.0</v>
      </c>
      <c r="D172" s="3">
        <v>0.004094562</v>
      </c>
      <c r="E172" s="3">
        <v>0.003885541</v>
      </c>
      <c r="F172" s="2">
        <v>13.0</v>
      </c>
      <c r="G172" s="2">
        <v>16384.0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ht="22.5" customHeight="1">
      <c r="A173" s="2">
        <v>32768.0</v>
      </c>
      <c r="B173" s="2">
        <v>21.0</v>
      </c>
      <c r="C173" s="2">
        <v>32789.0</v>
      </c>
      <c r="D173" s="3">
        <v>0.003519301</v>
      </c>
      <c r="E173" s="3">
        <v>0.004075247</v>
      </c>
      <c r="F173" s="2">
        <v>13.0</v>
      </c>
      <c r="G173" s="2">
        <v>16384.0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ht="22.5" customHeight="1">
      <c r="A174" s="2">
        <v>32768.0</v>
      </c>
      <c r="B174" s="2">
        <v>22.0</v>
      </c>
      <c r="C174" s="2">
        <v>32790.0</v>
      </c>
      <c r="D174" s="3">
        <v>0.003967295</v>
      </c>
      <c r="E174" s="3">
        <v>0.003676845</v>
      </c>
      <c r="F174" s="2">
        <v>13.0</v>
      </c>
      <c r="G174" s="2">
        <v>16384.0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ht="22.5" customHeight="1">
      <c r="A175" s="2">
        <v>32768.0</v>
      </c>
      <c r="B175" s="2">
        <v>23.0</v>
      </c>
      <c r="C175" s="2">
        <v>32791.0</v>
      </c>
      <c r="D175" s="3">
        <v>0.00437206</v>
      </c>
      <c r="E175" s="3">
        <v>0.005383345</v>
      </c>
      <c r="F175" s="2">
        <v>13.0</v>
      </c>
      <c r="G175" s="2">
        <v>16384.0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ht="22.5" customHeight="1">
      <c r="A176" s="2">
        <v>32768.0</v>
      </c>
      <c r="B176" s="2">
        <v>24.0</v>
      </c>
      <c r="C176" s="2">
        <v>32792.0</v>
      </c>
      <c r="D176" s="3">
        <v>0.004438434</v>
      </c>
      <c r="E176" s="3">
        <v>0.004899753</v>
      </c>
      <c r="F176" s="2">
        <v>13.0</v>
      </c>
      <c r="G176" s="2">
        <v>16384.0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ht="22.5" customHeight="1">
      <c r="A177" s="2">
        <v>32768.0</v>
      </c>
      <c r="B177" s="2">
        <v>25.0</v>
      </c>
      <c r="C177" s="2">
        <v>32793.0</v>
      </c>
      <c r="D177" s="3">
        <v>0.004415165</v>
      </c>
      <c r="E177" s="3">
        <v>0.00581851</v>
      </c>
      <c r="F177" s="2">
        <v>13.0</v>
      </c>
      <c r="G177" s="2">
        <v>16384.0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ht="22.5" customHeight="1">
      <c r="A178" s="2">
        <v>32768.0</v>
      </c>
      <c r="B178" s="2">
        <v>26.0</v>
      </c>
      <c r="C178" s="2">
        <v>32794.0</v>
      </c>
      <c r="D178" s="3">
        <v>0.004216389</v>
      </c>
      <c r="E178" s="3">
        <v>0.004345821</v>
      </c>
      <c r="F178" s="2">
        <v>13.0</v>
      </c>
      <c r="G178" s="2">
        <v>16384.0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ht="22.5" customHeight="1">
      <c r="A179" s="2">
        <v>32768.0</v>
      </c>
      <c r="B179" s="2">
        <v>27.0</v>
      </c>
      <c r="C179" s="2">
        <v>32795.0</v>
      </c>
      <c r="D179" s="3">
        <v>0.002879478</v>
      </c>
      <c r="E179" s="3">
        <v>0.004060188</v>
      </c>
      <c r="F179" s="2">
        <v>13.0</v>
      </c>
      <c r="G179" s="2">
        <v>16384.0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ht="22.5" customHeight="1">
      <c r="A180" s="2">
        <v>32768.0</v>
      </c>
      <c r="B180" s="2">
        <v>28.0</v>
      </c>
      <c r="C180" s="2">
        <v>32796.0</v>
      </c>
      <c r="D180" s="3">
        <v>0.004240555</v>
      </c>
      <c r="E180" s="3">
        <v>0.003916861</v>
      </c>
      <c r="F180" s="2">
        <v>13.0</v>
      </c>
      <c r="G180" s="2">
        <v>16384.0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ht="22.5" customHeight="1">
      <c r="A181" s="2">
        <v>32768.0</v>
      </c>
      <c r="B181" s="2">
        <v>29.0</v>
      </c>
      <c r="C181" s="2">
        <v>32797.0</v>
      </c>
      <c r="D181" s="3">
        <v>0.007787576</v>
      </c>
      <c r="E181" s="3">
        <v>0.007091048</v>
      </c>
      <c r="F181" s="2">
        <v>13.0</v>
      </c>
      <c r="G181" s="2">
        <v>16384.0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ht="22.5" customHeight="1">
      <c r="A182" s="2">
        <v>65536.0</v>
      </c>
      <c r="B182" s="2">
        <v>0.0</v>
      </c>
      <c r="C182" s="2">
        <v>65536.0</v>
      </c>
      <c r="D182" s="3">
        <v>0.014872534</v>
      </c>
      <c r="E182" s="3">
        <v>0.017155039</v>
      </c>
      <c r="F182" s="2">
        <v>14.0</v>
      </c>
      <c r="G182" s="2">
        <v>32768.0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ht="22.5" customHeight="1">
      <c r="A183" s="2">
        <v>65536.0</v>
      </c>
      <c r="B183" s="2">
        <v>1.0</v>
      </c>
      <c r="C183" s="2">
        <v>65537.0</v>
      </c>
      <c r="D183" s="3">
        <v>0.0170653</v>
      </c>
      <c r="E183" s="3">
        <v>0.017593606</v>
      </c>
      <c r="F183" s="2">
        <v>14.0</v>
      </c>
      <c r="G183" s="2">
        <v>32768.0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ht="22.5" customHeight="1">
      <c r="A184" s="2">
        <v>65536.0</v>
      </c>
      <c r="B184" s="2">
        <v>2.0</v>
      </c>
      <c r="C184" s="2">
        <v>65538.0</v>
      </c>
      <c r="D184" s="3">
        <v>0.018373241</v>
      </c>
      <c r="E184" s="3">
        <v>0.020739911</v>
      </c>
      <c r="F184" s="2">
        <v>14.0</v>
      </c>
      <c r="G184" s="2">
        <v>32768.0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ht="22.5" customHeight="1">
      <c r="A185" s="2">
        <v>65536.0</v>
      </c>
      <c r="B185" s="2">
        <v>3.0</v>
      </c>
      <c r="C185" s="2">
        <v>65539.0</v>
      </c>
      <c r="D185" s="3">
        <v>0.009756168</v>
      </c>
      <c r="E185" s="3">
        <v>0.013401583</v>
      </c>
      <c r="F185" s="2">
        <v>14.0</v>
      </c>
      <c r="G185" s="2">
        <v>32768.0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ht="22.5" customHeight="1">
      <c r="A186" s="2">
        <v>65536.0</v>
      </c>
      <c r="B186" s="2">
        <v>4.0</v>
      </c>
      <c r="C186" s="2">
        <v>65540.0</v>
      </c>
      <c r="D186" s="3">
        <v>0.01092754</v>
      </c>
      <c r="E186" s="3">
        <v>0.007086019</v>
      </c>
      <c r="F186" s="2">
        <v>14.0</v>
      </c>
      <c r="G186" s="2">
        <v>32768.0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ht="22.5" customHeight="1">
      <c r="A187" s="2">
        <v>65536.0</v>
      </c>
      <c r="B187" s="2">
        <v>5.0</v>
      </c>
      <c r="C187" s="2">
        <v>65541.0</v>
      </c>
      <c r="D187" s="3">
        <v>0.008292478</v>
      </c>
      <c r="E187" s="3">
        <v>0.008063912</v>
      </c>
      <c r="F187" s="2">
        <v>14.0</v>
      </c>
      <c r="G187" s="2">
        <v>32768.0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ht="22.5" customHeight="1">
      <c r="A188" s="2">
        <v>65536.0</v>
      </c>
      <c r="B188" s="2">
        <v>6.0</v>
      </c>
      <c r="C188" s="2">
        <v>65542.0</v>
      </c>
      <c r="D188" s="3">
        <v>0.008152618</v>
      </c>
      <c r="E188" s="3">
        <v>0.008873</v>
      </c>
      <c r="F188" s="2">
        <v>14.0</v>
      </c>
      <c r="G188" s="2">
        <v>32768.0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ht="22.5" customHeight="1">
      <c r="A189" s="2">
        <v>65536.0</v>
      </c>
      <c r="B189" s="2">
        <v>7.0</v>
      </c>
      <c r="C189" s="2">
        <v>65543.0</v>
      </c>
      <c r="D189" s="3">
        <v>0.007563559</v>
      </c>
      <c r="E189" s="3">
        <v>0.007975326</v>
      </c>
      <c r="F189" s="2">
        <v>14.0</v>
      </c>
      <c r="G189" s="2">
        <v>32768.0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ht="22.5" customHeight="1">
      <c r="A190" s="2">
        <v>65536.0</v>
      </c>
      <c r="B190" s="2">
        <v>8.0</v>
      </c>
      <c r="C190" s="2">
        <v>65544.0</v>
      </c>
      <c r="D190" s="3">
        <v>0.0075533</v>
      </c>
      <c r="E190" s="3">
        <v>0.006653373</v>
      </c>
      <c r="F190" s="2">
        <v>14.0</v>
      </c>
      <c r="G190" s="2">
        <v>32768.0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ht="22.5" customHeight="1">
      <c r="A191" s="2">
        <v>65536.0</v>
      </c>
      <c r="B191" s="2">
        <v>9.0</v>
      </c>
      <c r="C191" s="2">
        <v>65545.0</v>
      </c>
      <c r="D191" s="3">
        <v>0.006626713</v>
      </c>
      <c r="E191" s="3">
        <v>0.00827756</v>
      </c>
      <c r="F191" s="2">
        <v>14.0</v>
      </c>
      <c r="G191" s="2">
        <v>32768.0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ht="22.5" customHeight="1">
      <c r="A192" s="2">
        <v>65536.0</v>
      </c>
      <c r="B192" s="2">
        <v>10.0</v>
      </c>
      <c r="C192" s="2">
        <v>65546.0</v>
      </c>
      <c r="D192" s="3">
        <v>0.00707574</v>
      </c>
      <c r="E192" s="3">
        <v>0.006183917</v>
      </c>
      <c r="F192" s="2">
        <v>14.0</v>
      </c>
      <c r="G192" s="2">
        <v>32768.0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ht="22.5" customHeight="1">
      <c r="A193" s="2">
        <v>65536.0</v>
      </c>
      <c r="B193" s="2">
        <v>11.0</v>
      </c>
      <c r="C193" s="2">
        <v>65547.0</v>
      </c>
      <c r="D193" s="3">
        <v>0.006302118</v>
      </c>
      <c r="E193" s="3">
        <v>0.007218225</v>
      </c>
      <c r="F193" s="2">
        <v>14.0</v>
      </c>
      <c r="G193" s="2">
        <v>32768.0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ht="22.5" customHeight="1">
      <c r="A194" s="2">
        <v>65536.0</v>
      </c>
      <c r="B194" s="2">
        <v>12.0</v>
      </c>
      <c r="C194" s="2">
        <v>65548.0</v>
      </c>
      <c r="D194" s="3">
        <v>0.00710826</v>
      </c>
      <c r="E194" s="3">
        <v>0.006266271</v>
      </c>
      <c r="F194" s="2">
        <v>14.0</v>
      </c>
      <c r="G194" s="2">
        <v>32768.0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ht="22.5" customHeight="1">
      <c r="A195" s="2">
        <v>65536.0</v>
      </c>
      <c r="B195" s="2">
        <v>13.0</v>
      </c>
      <c r="C195" s="2">
        <v>65549.0</v>
      </c>
      <c r="D195" s="3">
        <v>0.006354786</v>
      </c>
      <c r="E195" s="3">
        <v>0.007413549</v>
      </c>
      <c r="F195" s="2">
        <v>14.0</v>
      </c>
      <c r="G195" s="2">
        <v>32768.0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ht="22.5" customHeight="1">
      <c r="A196" s="2">
        <v>65536.0</v>
      </c>
      <c r="B196" s="2">
        <v>14.0</v>
      </c>
      <c r="C196" s="2">
        <v>65550.0</v>
      </c>
      <c r="D196" s="3">
        <v>0.007561486</v>
      </c>
      <c r="E196" s="3">
        <v>0.00697957</v>
      </c>
      <c r="F196" s="2">
        <v>14.0</v>
      </c>
      <c r="G196" s="2">
        <v>32768.0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ht="22.5" customHeight="1">
      <c r="A197" s="2">
        <v>65536.0</v>
      </c>
      <c r="B197" s="2">
        <v>15.0</v>
      </c>
      <c r="C197" s="2">
        <v>65551.0</v>
      </c>
      <c r="D197" s="3">
        <v>0.006444433</v>
      </c>
      <c r="E197" s="3">
        <v>0.008448098</v>
      </c>
      <c r="F197" s="2">
        <v>14.0</v>
      </c>
      <c r="G197" s="2">
        <v>32768.0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ht="22.5" customHeight="1">
      <c r="A198" s="2">
        <v>65536.0</v>
      </c>
      <c r="B198" s="2">
        <v>16.0</v>
      </c>
      <c r="C198" s="2">
        <v>65552.0</v>
      </c>
      <c r="D198" s="3">
        <v>0.007209519</v>
      </c>
      <c r="E198" s="3">
        <v>0.006497853</v>
      </c>
      <c r="F198" s="2">
        <v>14.0</v>
      </c>
      <c r="G198" s="2">
        <v>32768.0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ht="22.5" customHeight="1">
      <c r="A199" s="2">
        <v>65536.0</v>
      </c>
      <c r="B199" s="2">
        <v>17.0</v>
      </c>
      <c r="C199" s="2">
        <v>65553.0</v>
      </c>
      <c r="D199" s="3">
        <v>0.006114477</v>
      </c>
      <c r="E199" s="3">
        <v>0.007600658</v>
      </c>
      <c r="F199" s="2">
        <v>14.0</v>
      </c>
      <c r="G199" s="2">
        <v>32768.0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ht="22.5" customHeight="1">
      <c r="A200" s="2">
        <v>65536.0</v>
      </c>
      <c r="B200" s="2">
        <v>18.0</v>
      </c>
      <c r="C200" s="2">
        <v>65554.0</v>
      </c>
      <c r="D200" s="3">
        <v>0.007692339</v>
      </c>
      <c r="E200" s="3">
        <v>0.006415559</v>
      </c>
      <c r="F200" s="2">
        <v>14.0</v>
      </c>
      <c r="G200" s="2">
        <v>32768.0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ht="22.5" customHeight="1">
      <c r="A201" s="2">
        <v>65536.0</v>
      </c>
      <c r="B201" s="2">
        <v>19.0</v>
      </c>
      <c r="C201" s="2">
        <v>65555.0</v>
      </c>
      <c r="D201" s="3">
        <v>0.006246974</v>
      </c>
      <c r="E201" s="3">
        <v>0.007896009</v>
      </c>
      <c r="F201" s="2">
        <v>14.0</v>
      </c>
      <c r="G201" s="2">
        <v>32768.0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ht="22.5" customHeight="1">
      <c r="A202" s="2">
        <v>65536.0</v>
      </c>
      <c r="B202" s="2">
        <v>20.0</v>
      </c>
      <c r="C202" s="2">
        <v>65556.0</v>
      </c>
      <c r="D202" s="3">
        <v>0.007356132</v>
      </c>
      <c r="E202" s="3">
        <v>0.006380135</v>
      </c>
      <c r="F202" s="2">
        <v>14.0</v>
      </c>
      <c r="G202" s="2">
        <v>32768.0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ht="22.5" customHeight="1">
      <c r="A203" s="2">
        <v>65536.0</v>
      </c>
      <c r="B203" s="2">
        <v>21.0</v>
      </c>
      <c r="C203" s="2">
        <v>65557.0</v>
      </c>
      <c r="D203" s="3">
        <v>0.007147092</v>
      </c>
      <c r="E203" s="3">
        <v>0.007724419</v>
      </c>
      <c r="F203" s="2">
        <v>14.0</v>
      </c>
      <c r="G203" s="2">
        <v>32768.0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ht="22.5" customHeight="1">
      <c r="A204" s="2">
        <v>65536.0</v>
      </c>
      <c r="B204" s="2">
        <v>22.0</v>
      </c>
      <c r="C204" s="2">
        <v>65558.0</v>
      </c>
      <c r="D204" s="3">
        <v>0.008122251</v>
      </c>
      <c r="E204" s="3">
        <v>0.006981484</v>
      </c>
      <c r="F204" s="2">
        <v>14.0</v>
      </c>
      <c r="G204" s="2">
        <v>32768.0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ht="22.5" customHeight="1">
      <c r="A205" s="2">
        <v>65536.0</v>
      </c>
      <c r="B205" s="2">
        <v>23.0</v>
      </c>
      <c r="C205" s="2">
        <v>65559.0</v>
      </c>
      <c r="D205" s="3">
        <v>0.007839944</v>
      </c>
      <c r="E205" s="3">
        <v>0.009090887</v>
      </c>
      <c r="F205" s="2">
        <v>14.0</v>
      </c>
      <c r="G205" s="2">
        <v>32768.0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ht="22.5" customHeight="1">
      <c r="A206" s="2">
        <v>65536.0</v>
      </c>
      <c r="B206" s="2">
        <v>24.0</v>
      </c>
      <c r="C206" s="2">
        <v>65560.0</v>
      </c>
      <c r="D206" s="3">
        <v>0.008271688</v>
      </c>
      <c r="E206" s="3">
        <v>0.006837516</v>
      </c>
      <c r="F206" s="2">
        <v>14.0</v>
      </c>
      <c r="G206" s="2">
        <v>32768.0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ht="22.5" customHeight="1">
      <c r="A207" s="2">
        <v>65536.0</v>
      </c>
      <c r="B207" s="2">
        <v>25.0</v>
      </c>
      <c r="C207" s="2">
        <v>65561.0</v>
      </c>
      <c r="D207" s="3">
        <v>0.008489245</v>
      </c>
      <c r="E207" s="3">
        <v>0.00758545</v>
      </c>
      <c r="F207" s="2">
        <v>14.0</v>
      </c>
      <c r="G207" s="2">
        <v>32768.0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ht="22.5" customHeight="1">
      <c r="A208" s="2">
        <v>65536.0</v>
      </c>
      <c r="B208" s="2">
        <v>26.0</v>
      </c>
      <c r="C208" s="2">
        <v>65562.0</v>
      </c>
      <c r="D208" s="3">
        <v>0.010696309</v>
      </c>
      <c r="E208" s="3">
        <v>0.008080442</v>
      </c>
      <c r="F208" s="2">
        <v>14.0</v>
      </c>
      <c r="G208" s="2">
        <v>32768.0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ht="22.5" customHeight="1">
      <c r="A209" s="2">
        <v>65536.0</v>
      </c>
      <c r="B209" s="2">
        <v>27.0</v>
      </c>
      <c r="C209" s="2">
        <v>65563.0</v>
      </c>
      <c r="D209" s="3">
        <v>0.008600733</v>
      </c>
      <c r="E209" s="3">
        <v>0.008423533</v>
      </c>
      <c r="F209" s="2">
        <v>14.0</v>
      </c>
      <c r="G209" s="2">
        <v>32768.0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ht="22.5" customHeight="1">
      <c r="A210" s="2">
        <v>65536.0</v>
      </c>
      <c r="B210" s="2">
        <v>28.0</v>
      </c>
      <c r="C210" s="2">
        <v>65564.0</v>
      </c>
      <c r="D210" s="3">
        <v>0.008932962</v>
      </c>
      <c r="E210" s="3">
        <v>0.008089429</v>
      </c>
      <c r="F210" s="2">
        <v>14.0</v>
      </c>
      <c r="G210" s="2">
        <v>32768.0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ht="22.5" customHeight="1">
      <c r="A211" s="2">
        <v>65536.0</v>
      </c>
      <c r="B211" s="2">
        <v>29.0</v>
      </c>
      <c r="C211" s="2">
        <v>65565.0</v>
      </c>
      <c r="D211" s="3">
        <v>0.015065724</v>
      </c>
      <c r="E211" s="3">
        <v>0.010136645</v>
      </c>
      <c r="F211" s="2">
        <v>14.0</v>
      </c>
      <c r="G211" s="2">
        <v>32768.0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ht="22.5" customHeight="1">
      <c r="A212" s="2">
        <v>131072.0</v>
      </c>
      <c r="B212" s="2">
        <v>0.0</v>
      </c>
      <c r="C212" s="2">
        <v>131072.0</v>
      </c>
      <c r="D212" s="3">
        <v>0.029277537</v>
      </c>
      <c r="E212" s="3">
        <v>0.03122202</v>
      </c>
      <c r="F212" s="2">
        <v>15.0</v>
      </c>
      <c r="G212" s="2">
        <v>65536.0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ht="22.5" customHeight="1">
      <c r="A213" s="2">
        <v>131072.0</v>
      </c>
      <c r="B213" s="2">
        <v>1.0</v>
      </c>
      <c r="C213" s="2">
        <v>131073.0</v>
      </c>
      <c r="D213" s="3">
        <v>0.035649123</v>
      </c>
      <c r="E213" s="3">
        <v>0.039089365</v>
      </c>
      <c r="F213" s="2">
        <v>15.0</v>
      </c>
      <c r="G213" s="2">
        <v>65536.0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ht="22.5" customHeight="1">
      <c r="A214" s="2">
        <v>131072.0</v>
      </c>
      <c r="B214" s="2">
        <v>2.0</v>
      </c>
      <c r="C214" s="2">
        <v>131074.0</v>
      </c>
      <c r="D214" s="3">
        <v>0.028368824</v>
      </c>
      <c r="E214" s="3">
        <v>0.029815318</v>
      </c>
      <c r="F214" s="2">
        <v>15.0</v>
      </c>
      <c r="G214" s="2">
        <v>65536.0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ht="22.5" customHeight="1">
      <c r="A215" s="2">
        <v>131072.0</v>
      </c>
      <c r="B215" s="2">
        <v>3.0</v>
      </c>
      <c r="C215" s="2">
        <v>131075.0</v>
      </c>
      <c r="D215" s="3">
        <v>0.030918927</v>
      </c>
      <c r="E215" s="3">
        <v>0.027086972</v>
      </c>
      <c r="F215" s="2">
        <v>15.0</v>
      </c>
      <c r="G215" s="2">
        <v>65536.0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ht="22.5" customHeight="1">
      <c r="A216" s="2">
        <v>131072.0</v>
      </c>
      <c r="B216" s="2">
        <v>4.0</v>
      </c>
      <c r="C216" s="2">
        <v>131076.0</v>
      </c>
      <c r="D216" s="3">
        <v>0.029585069</v>
      </c>
      <c r="E216" s="3">
        <v>0.028425297</v>
      </c>
      <c r="F216" s="2">
        <v>15.0</v>
      </c>
      <c r="G216" s="2">
        <v>65536.0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ht="22.5" customHeight="1">
      <c r="A217" s="2">
        <v>131072.0</v>
      </c>
      <c r="B217" s="2">
        <v>5.0</v>
      </c>
      <c r="C217" s="2">
        <v>131077.0</v>
      </c>
      <c r="D217" s="3">
        <v>0.036074929</v>
      </c>
      <c r="E217" s="3">
        <v>0.029358687</v>
      </c>
      <c r="F217" s="2">
        <v>15.0</v>
      </c>
      <c r="G217" s="2">
        <v>65536.0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ht="22.5" customHeight="1">
      <c r="A218" s="2">
        <v>131072.0</v>
      </c>
      <c r="B218" s="2">
        <v>6.0</v>
      </c>
      <c r="C218" s="2">
        <v>131078.0</v>
      </c>
      <c r="D218" s="3">
        <v>0.033068983</v>
      </c>
      <c r="E218" s="3">
        <v>0.03043875</v>
      </c>
      <c r="F218" s="2">
        <v>15.0</v>
      </c>
      <c r="G218" s="2">
        <v>65536.0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ht="22.5" customHeight="1">
      <c r="A219" s="2">
        <v>131072.0</v>
      </c>
      <c r="B219" s="2">
        <v>7.0</v>
      </c>
      <c r="C219" s="2">
        <v>131079.0</v>
      </c>
      <c r="D219" s="3">
        <v>0.032894397</v>
      </c>
      <c r="E219" s="3">
        <v>0.029840405</v>
      </c>
      <c r="F219" s="2">
        <v>15.0</v>
      </c>
      <c r="G219" s="2">
        <v>65536.0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ht="22.5" customHeight="1">
      <c r="A220" s="2">
        <v>131072.0</v>
      </c>
      <c r="B220" s="2">
        <v>8.0</v>
      </c>
      <c r="C220" s="2">
        <v>131080.0</v>
      </c>
      <c r="D220" s="3">
        <v>0.030164489</v>
      </c>
      <c r="E220" s="3">
        <v>0.033239765</v>
      </c>
      <c r="F220" s="2">
        <v>15.0</v>
      </c>
      <c r="G220" s="2">
        <v>65536.0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ht="22.5" customHeight="1">
      <c r="A221" s="2">
        <v>131072.0</v>
      </c>
      <c r="B221" s="2">
        <v>9.0</v>
      </c>
      <c r="C221" s="2">
        <v>131081.0</v>
      </c>
      <c r="D221" s="3">
        <v>0.032615417</v>
      </c>
      <c r="E221" s="3">
        <v>0.031470874</v>
      </c>
      <c r="F221" s="2">
        <v>15.0</v>
      </c>
      <c r="G221" s="2">
        <v>65536.0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ht="22.5" customHeight="1">
      <c r="A222" s="2">
        <v>131072.0</v>
      </c>
      <c r="B222" s="2">
        <v>10.0</v>
      </c>
      <c r="C222" s="2">
        <v>131082.0</v>
      </c>
      <c r="D222" s="3">
        <v>0.03488538</v>
      </c>
      <c r="E222" s="3">
        <v>0.038743496</v>
      </c>
      <c r="F222" s="2">
        <v>15.0</v>
      </c>
      <c r="G222" s="2">
        <v>65536.0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ht="22.5" customHeight="1">
      <c r="A223" s="2">
        <v>131072.0</v>
      </c>
      <c r="B223" s="2">
        <v>11.0</v>
      </c>
      <c r="C223" s="2">
        <v>131083.0</v>
      </c>
      <c r="D223" s="3">
        <v>0.031956886</v>
      </c>
      <c r="E223" s="3">
        <v>0.038705226</v>
      </c>
      <c r="F223" s="2">
        <v>15.0</v>
      </c>
      <c r="G223" s="2">
        <v>65536.0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ht="22.5" customHeight="1">
      <c r="A224" s="2">
        <v>131072.0</v>
      </c>
      <c r="B224" s="2">
        <v>12.0</v>
      </c>
      <c r="C224" s="2">
        <v>131084.0</v>
      </c>
      <c r="D224" s="3">
        <v>0.03324414</v>
      </c>
      <c r="E224" s="3">
        <v>0.031855646</v>
      </c>
      <c r="F224" s="2">
        <v>15.0</v>
      </c>
      <c r="G224" s="2">
        <v>65536.0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ht="22.5" customHeight="1">
      <c r="A225" s="2">
        <v>131072.0</v>
      </c>
      <c r="B225" s="2">
        <v>13.0</v>
      </c>
      <c r="C225" s="2">
        <v>131085.0</v>
      </c>
      <c r="D225" s="3">
        <v>0.034644836</v>
      </c>
      <c r="E225" s="3">
        <v>0.026555311</v>
      </c>
      <c r="F225" s="2">
        <v>15.0</v>
      </c>
      <c r="G225" s="2">
        <v>65536.0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ht="22.5" customHeight="1">
      <c r="A226" s="2">
        <v>131072.0</v>
      </c>
      <c r="B226" s="2">
        <v>14.0</v>
      </c>
      <c r="C226" s="2">
        <v>131086.0</v>
      </c>
      <c r="D226" s="3">
        <v>0.027274731</v>
      </c>
      <c r="E226" s="3">
        <v>0.030762435</v>
      </c>
      <c r="F226" s="2">
        <v>15.0</v>
      </c>
      <c r="G226" s="2">
        <v>65536.0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ht="22.5" customHeight="1">
      <c r="A227" s="2">
        <v>131072.0</v>
      </c>
      <c r="B227" s="2">
        <v>15.0</v>
      </c>
      <c r="C227" s="2">
        <v>131087.0</v>
      </c>
      <c r="D227" s="3">
        <v>0.032703155</v>
      </c>
      <c r="E227" s="3">
        <v>0.031685544</v>
      </c>
      <c r="F227" s="2">
        <v>15.0</v>
      </c>
      <c r="G227" s="2">
        <v>65536.0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ht="22.5" customHeight="1">
      <c r="A228" s="2">
        <v>131072.0</v>
      </c>
      <c r="B228" s="2">
        <v>16.0</v>
      </c>
      <c r="C228" s="2">
        <v>131088.0</v>
      </c>
      <c r="D228" s="3">
        <v>0.033004773</v>
      </c>
      <c r="E228" s="3">
        <v>0.032488633</v>
      </c>
      <c r="F228" s="2">
        <v>15.0</v>
      </c>
      <c r="G228" s="2">
        <v>65536.0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ht="22.5" customHeight="1">
      <c r="A229" s="2">
        <v>131072.0</v>
      </c>
      <c r="B229" s="2">
        <v>17.0</v>
      </c>
      <c r="C229" s="2">
        <v>131089.0</v>
      </c>
      <c r="D229" s="3">
        <v>0.031053558</v>
      </c>
      <c r="E229" s="3">
        <v>0.026171216</v>
      </c>
      <c r="F229" s="2">
        <v>15.0</v>
      </c>
      <c r="G229" s="2">
        <v>65536.0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ht="22.5" customHeight="1">
      <c r="A230" s="2">
        <v>131072.0</v>
      </c>
      <c r="B230" s="2">
        <v>18.0</v>
      </c>
      <c r="C230" s="2">
        <v>131090.0</v>
      </c>
      <c r="D230" s="3">
        <v>0.028899631</v>
      </c>
      <c r="E230" s="3">
        <v>0.034025298</v>
      </c>
      <c r="F230" s="2">
        <v>15.0</v>
      </c>
      <c r="G230" s="2">
        <v>65536.0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ht="22.5" customHeight="1">
      <c r="A231" s="2">
        <v>131072.0</v>
      </c>
      <c r="B231" s="2">
        <v>19.0</v>
      </c>
      <c r="C231" s="2">
        <v>131091.0</v>
      </c>
      <c r="D231" s="3">
        <v>0.043541817</v>
      </c>
      <c r="E231" s="3">
        <v>0.038788295</v>
      </c>
      <c r="F231" s="2">
        <v>15.0</v>
      </c>
      <c r="G231" s="2">
        <v>65536.0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ht="22.5" customHeight="1">
      <c r="A232" s="2">
        <v>131072.0</v>
      </c>
      <c r="B232" s="2">
        <v>20.0</v>
      </c>
      <c r="C232" s="2">
        <v>131092.0</v>
      </c>
      <c r="D232" s="3">
        <v>0.028397585</v>
      </c>
      <c r="E232" s="3">
        <v>0.029463141</v>
      </c>
      <c r="F232" s="2">
        <v>15.0</v>
      </c>
      <c r="G232" s="2">
        <v>65536.0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ht="22.5" customHeight="1">
      <c r="A233" s="2">
        <v>131072.0</v>
      </c>
      <c r="B233" s="2">
        <v>21.0</v>
      </c>
      <c r="C233" s="2">
        <v>131093.0</v>
      </c>
      <c r="D233" s="3">
        <v>0.035350618</v>
      </c>
      <c r="E233" s="3">
        <v>0.035200997</v>
      </c>
      <c r="F233" s="2">
        <v>15.0</v>
      </c>
      <c r="G233" s="2">
        <v>65536.0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ht="22.5" customHeight="1">
      <c r="A234" s="2">
        <v>131072.0</v>
      </c>
      <c r="B234" s="2">
        <v>22.0</v>
      </c>
      <c r="C234" s="2">
        <v>131094.0</v>
      </c>
      <c r="D234" s="3">
        <v>0.033400899</v>
      </c>
      <c r="E234" s="3">
        <v>0.038643876</v>
      </c>
      <c r="F234" s="2">
        <v>15.0</v>
      </c>
      <c r="G234" s="2">
        <v>65536.0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ht="22.5" customHeight="1">
      <c r="A235" s="2">
        <v>131072.0</v>
      </c>
      <c r="B235" s="2">
        <v>23.0</v>
      </c>
      <c r="C235" s="2">
        <v>131095.0</v>
      </c>
      <c r="D235" s="3">
        <v>0.036339009</v>
      </c>
      <c r="E235" s="3">
        <v>0.036297306</v>
      </c>
      <c r="F235" s="2">
        <v>15.0</v>
      </c>
      <c r="G235" s="2">
        <v>65536.0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ht="22.5" customHeight="1">
      <c r="A236" s="2">
        <v>131072.0</v>
      </c>
      <c r="B236" s="2">
        <v>24.0</v>
      </c>
      <c r="C236" s="2">
        <v>131096.0</v>
      </c>
      <c r="D236" s="3">
        <v>0.035174267</v>
      </c>
      <c r="E236" s="3">
        <v>0.036470524</v>
      </c>
      <c r="F236" s="2">
        <v>15.0</v>
      </c>
      <c r="G236" s="2">
        <v>65536.0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ht="22.5" customHeight="1">
      <c r="A237" s="2">
        <v>131072.0</v>
      </c>
      <c r="B237" s="2">
        <v>25.0</v>
      </c>
      <c r="C237" s="2">
        <v>131097.0</v>
      </c>
      <c r="D237" s="3">
        <v>0.045661563</v>
      </c>
      <c r="E237" s="3">
        <v>0.037512767</v>
      </c>
      <c r="F237" s="2">
        <v>15.0</v>
      </c>
      <c r="G237" s="2">
        <v>65536.0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ht="22.5" customHeight="1">
      <c r="A238" s="2">
        <v>131072.0</v>
      </c>
      <c r="B238" s="2">
        <v>26.0</v>
      </c>
      <c r="C238" s="2">
        <v>131098.0</v>
      </c>
      <c r="D238" s="3">
        <v>0.040349879</v>
      </c>
      <c r="E238" s="3">
        <v>0.039114203</v>
      </c>
      <c r="F238" s="2">
        <v>15.0</v>
      </c>
      <c r="G238" s="2">
        <v>65536.0</v>
      </c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ht="22.5" customHeight="1">
      <c r="A239" s="2">
        <v>131072.0</v>
      </c>
      <c r="B239" s="2">
        <v>27.0</v>
      </c>
      <c r="C239" s="2">
        <v>131099.0</v>
      </c>
      <c r="D239" s="3">
        <v>0.050376335</v>
      </c>
      <c r="E239" s="3">
        <v>0.054632402</v>
      </c>
      <c r="F239" s="2">
        <v>15.0</v>
      </c>
      <c r="G239" s="2">
        <v>65536.0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ht="22.5" customHeight="1">
      <c r="A240" s="2">
        <v>131072.0</v>
      </c>
      <c r="B240" s="2">
        <v>28.0</v>
      </c>
      <c r="C240" s="2">
        <v>131100.0</v>
      </c>
      <c r="D240" s="3">
        <v>0.046222778</v>
      </c>
      <c r="E240" s="3">
        <v>0.041215189</v>
      </c>
      <c r="F240" s="2">
        <v>15.0</v>
      </c>
      <c r="G240" s="2">
        <v>65536.0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ht="22.5" customHeight="1">
      <c r="A241" s="2">
        <v>131072.0</v>
      </c>
      <c r="B241" s="2">
        <v>29.0</v>
      </c>
      <c r="C241" s="2">
        <v>131101.0</v>
      </c>
      <c r="D241" s="3">
        <v>0.041824975</v>
      </c>
      <c r="E241" s="3">
        <v>0.035736065</v>
      </c>
      <c r="F241" s="2">
        <v>15.0</v>
      </c>
      <c r="G241" s="2">
        <v>65536.0</v>
      </c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ht="22.5" customHeight="1">
      <c r="A242" s="2">
        <v>262144.0</v>
      </c>
      <c r="B242" s="2">
        <v>0.0</v>
      </c>
      <c r="C242" s="2">
        <v>262144.0</v>
      </c>
      <c r="D242" s="3">
        <v>0.085019493</v>
      </c>
      <c r="E242" s="3">
        <v>0.082986944</v>
      </c>
      <c r="F242" s="2">
        <v>16.0</v>
      </c>
      <c r="G242" s="2">
        <v>131072.0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ht="22.5" customHeight="1">
      <c r="A243" s="2">
        <v>262144.0</v>
      </c>
      <c r="B243" s="2">
        <v>1.0</v>
      </c>
      <c r="C243" s="2">
        <v>262145.0</v>
      </c>
      <c r="D243" s="3">
        <v>0.109265229</v>
      </c>
      <c r="E243" s="3">
        <v>0.09428741</v>
      </c>
      <c r="F243" s="2">
        <v>16.0</v>
      </c>
      <c r="G243" s="2">
        <v>131072.0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ht="22.5" customHeight="1">
      <c r="A244" s="2">
        <v>262144.0</v>
      </c>
      <c r="B244" s="2">
        <v>2.0</v>
      </c>
      <c r="C244" s="2">
        <v>262146.0</v>
      </c>
      <c r="D244" s="3">
        <v>0.094063718</v>
      </c>
      <c r="E244" s="3">
        <v>0.08927369</v>
      </c>
      <c r="F244" s="2">
        <v>16.0</v>
      </c>
      <c r="G244" s="2">
        <v>131072.0</v>
      </c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ht="22.5" customHeight="1">
      <c r="A245" s="2">
        <v>262144.0</v>
      </c>
      <c r="B245" s="2">
        <v>3.0</v>
      </c>
      <c r="C245" s="2">
        <v>262147.0</v>
      </c>
      <c r="D245" s="3">
        <v>0.100660198</v>
      </c>
      <c r="E245" s="3">
        <v>0.087992276</v>
      </c>
      <c r="F245" s="2">
        <v>16.0</v>
      </c>
      <c r="G245" s="2">
        <v>131072.0</v>
      </c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ht="22.5" customHeight="1">
      <c r="A246" s="2">
        <v>262144.0</v>
      </c>
      <c r="B246" s="2">
        <v>4.0</v>
      </c>
      <c r="C246" s="2">
        <v>262148.0</v>
      </c>
      <c r="D246" s="3">
        <v>0.086460505</v>
      </c>
      <c r="E246" s="3">
        <v>0.078977798</v>
      </c>
      <c r="F246" s="2">
        <v>16.0</v>
      </c>
      <c r="G246" s="2">
        <v>131072.0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ht="22.5" customHeight="1">
      <c r="A247" s="2">
        <v>262144.0</v>
      </c>
      <c r="B247" s="2">
        <v>5.0</v>
      </c>
      <c r="C247" s="2">
        <v>262149.0</v>
      </c>
      <c r="D247" s="3">
        <v>0.080318901</v>
      </c>
      <c r="E247" s="3">
        <v>0.079183905</v>
      </c>
      <c r="F247" s="2">
        <v>16.0</v>
      </c>
      <c r="G247" s="2">
        <v>131072.0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ht="22.5" customHeight="1">
      <c r="A248" s="2">
        <v>262144.0</v>
      </c>
      <c r="B248" s="2">
        <v>6.0</v>
      </c>
      <c r="C248" s="2">
        <v>262150.0</v>
      </c>
      <c r="D248" s="3">
        <v>0.057511488</v>
      </c>
      <c r="E248" s="3">
        <v>0.059725184</v>
      </c>
      <c r="F248" s="2">
        <v>16.0</v>
      </c>
      <c r="G248" s="2">
        <v>131072.0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ht="22.5" customHeight="1">
      <c r="A249" s="2">
        <v>262144.0</v>
      </c>
      <c r="B249" s="2">
        <v>7.0</v>
      </c>
      <c r="C249" s="2">
        <v>262151.0</v>
      </c>
      <c r="D249" s="3">
        <v>0.095419647</v>
      </c>
      <c r="E249" s="3">
        <v>0.10576122</v>
      </c>
      <c r="F249" s="2">
        <v>16.0</v>
      </c>
      <c r="G249" s="2">
        <v>131072.0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ht="22.5" customHeight="1">
      <c r="A250" s="2">
        <v>262144.0</v>
      </c>
      <c r="B250" s="2">
        <v>8.0</v>
      </c>
      <c r="C250" s="2">
        <v>262152.0</v>
      </c>
      <c r="D250" s="3">
        <v>0.083306891</v>
      </c>
      <c r="E250" s="3">
        <v>0.081082033</v>
      </c>
      <c r="F250" s="2">
        <v>16.0</v>
      </c>
      <c r="G250" s="2">
        <v>131072.0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ht="22.5" customHeight="1">
      <c r="A251" s="2">
        <v>262144.0</v>
      </c>
      <c r="B251" s="2">
        <v>9.0</v>
      </c>
      <c r="C251" s="2">
        <v>262153.0</v>
      </c>
      <c r="D251" s="3">
        <v>0.049083657</v>
      </c>
      <c r="E251" s="3">
        <v>0.046680655</v>
      </c>
      <c r="F251" s="2">
        <v>16.0</v>
      </c>
      <c r="G251" s="2">
        <v>131072.0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ht="22.5" customHeight="1">
      <c r="A252" s="2">
        <v>262144.0</v>
      </c>
      <c r="B252" s="2">
        <v>10.0</v>
      </c>
      <c r="C252" s="2">
        <v>262154.0</v>
      </c>
      <c r="D252" s="3">
        <v>0.085430978</v>
      </c>
      <c r="E252" s="3">
        <v>0.089065735</v>
      </c>
      <c r="F252" s="2">
        <v>16.0</v>
      </c>
      <c r="G252" s="2">
        <v>131072.0</v>
      </c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ht="22.5" customHeight="1">
      <c r="A253" s="2">
        <v>262144.0</v>
      </c>
      <c r="B253" s="2">
        <v>11.0</v>
      </c>
      <c r="C253" s="2">
        <v>262155.0</v>
      </c>
      <c r="D253" s="3">
        <v>0.093021535</v>
      </c>
      <c r="E253" s="3">
        <v>0.079588519</v>
      </c>
      <c r="F253" s="2">
        <v>16.0</v>
      </c>
      <c r="G253" s="2">
        <v>131072.0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ht="22.5" customHeight="1">
      <c r="A254" s="2">
        <v>262144.0</v>
      </c>
      <c r="B254" s="2">
        <v>12.0</v>
      </c>
      <c r="C254" s="2">
        <v>262156.0</v>
      </c>
      <c r="D254" s="3">
        <v>0.081113402</v>
      </c>
      <c r="E254" s="3">
        <v>0.082079984</v>
      </c>
      <c r="F254" s="2">
        <v>16.0</v>
      </c>
      <c r="G254" s="2">
        <v>131072.0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ht="22.5" customHeight="1">
      <c r="A255" s="2">
        <v>262144.0</v>
      </c>
      <c r="B255" s="2">
        <v>13.0</v>
      </c>
      <c r="C255" s="2">
        <v>262157.0</v>
      </c>
      <c r="D255" s="3">
        <v>0.050271082</v>
      </c>
      <c r="E255" s="3">
        <v>0.077327193</v>
      </c>
      <c r="F255" s="2">
        <v>16.0</v>
      </c>
      <c r="G255" s="2">
        <v>131072.0</v>
      </c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ht="22.5" customHeight="1">
      <c r="A256" s="2">
        <v>262144.0</v>
      </c>
      <c r="B256" s="2">
        <v>14.0</v>
      </c>
      <c r="C256" s="2">
        <v>262158.0</v>
      </c>
      <c r="D256" s="3">
        <v>0.090172237</v>
      </c>
      <c r="E256" s="3">
        <v>0.087575988</v>
      </c>
      <c r="F256" s="2">
        <v>16.0</v>
      </c>
      <c r="G256" s="2">
        <v>131072.0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ht="22.5" customHeight="1">
      <c r="A257" s="2">
        <v>262144.0</v>
      </c>
      <c r="B257" s="2">
        <v>15.0</v>
      </c>
      <c r="C257" s="2">
        <v>262159.0</v>
      </c>
      <c r="D257" s="3">
        <v>0.094191422</v>
      </c>
      <c r="E257" s="3">
        <v>0.092557928</v>
      </c>
      <c r="F257" s="2">
        <v>16.0</v>
      </c>
      <c r="G257" s="2">
        <v>131072.0</v>
      </c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ht="22.5" customHeight="1">
      <c r="A258" s="2">
        <v>262144.0</v>
      </c>
      <c r="B258" s="2">
        <v>16.0</v>
      </c>
      <c r="C258" s="2">
        <v>262160.0</v>
      </c>
      <c r="D258" s="3">
        <v>0.072772373</v>
      </c>
      <c r="E258" s="3">
        <v>0.09879864</v>
      </c>
      <c r="F258" s="2">
        <v>16.0</v>
      </c>
      <c r="G258" s="2">
        <v>131072.0</v>
      </c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ht="22.5" customHeight="1">
      <c r="A259" s="2">
        <v>262144.0</v>
      </c>
      <c r="B259" s="2">
        <v>17.0</v>
      </c>
      <c r="C259" s="2">
        <v>262161.0</v>
      </c>
      <c r="D259" s="3">
        <v>0.089168498</v>
      </c>
      <c r="E259" s="3">
        <v>0.109497514</v>
      </c>
      <c r="F259" s="2">
        <v>16.0</v>
      </c>
      <c r="G259" s="2">
        <v>131072.0</v>
      </c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ht="22.5" customHeight="1">
      <c r="A260" s="2">
        <v>262144.0</v>
      </c>
      <c r="B260" s="2">
        <v>18.0</v>
      </c>
      <c r="C260" s="2">
        <v>262162.0</v>
      </c>
      <c r="D260" s="3">
        <v>0.081747322</v>
      </c>
      <c r="E260" s="3">
        <v>0.082691153</v>
      </c>
      <c r="F260" s="2">
        <v>16.0</v>
      </c>
      <c r="G260" s="2">
        <v>131072.0</v>
      </c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ht="22.5" customHeight="1">
      <c r="A261" s="2">
        <v>262144.0</v>
      </c>
      <c r="B261" s="2">
        <v>19.0</v>
      </c>
      <c r="C261" s="2">
        <v>262163.0</v>
      </c>
      <c r="D261" s="3">
        <v>0.083830196</v>
      </c>
      <c r="E261" s="3">
        <v>0.090999255</v>
      </c>
      <c r="F261" s="2">
        <v>16.0</v>
      </c>
      <c r="G261" s="2">
        <v>131072.0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ht="22.5" customHeight="1">
      <c r="A262" s="2">
        <v>262144.0</v>
      </c>
      <c r="B262" s="2">
        <v>20.0</v>
      </c>
      <c r="C262" s="2">
        <v>262164.0</v>
      </c>
      <c r="D262" s="3">
        <v>0.05509404</v>
      </c>
      <c r="E262" s="3">
        <v>0.05313031</v>
      </c>
      <c r="F262" s="2">
        <v>16.0</v>
      </c>
      <c r="G262" s="2">
        <v>131072.0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ht="22.5" customHeight="1">
      <c r="A263" s="2">
        <v>262144.0</v>
      </c>
      <c r="B263" s="2">
        <v>21.0</v>
      </c>
      <c r="C263" s="2">
        <v>262165.0</v>
      </c>
      <c r="D263" s="3">
        <v>0.098502623</v>
      </c>
      <c r="E263" s="3">
        <v>0.095507452</v>
      </c>
      <c r="F263" s="2">
        <v>16.0</v>
      </c>
      <c r="G263" s="2">
        <v>131072.0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ht="22.5" customHeight="1">
      <c r="A264" s="2">
        <v>262144.0</v>
      </c>
      <c r="B264" s="2">
        <v>22.0</v>
      </c>
      <c r="C264" s="2">
        <v>262166.0</v>
      </c>
      <c r="D264" s="3">
        <v>0.096949127</v>
      </c>
      <c r="E264" s="3">
        <v>0.089581477</v>
      </c>
      <c r="F264" s="2">
        <v>16.0</v>
      </c>
      <c r="G264" s="2">
        <v>131072.0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ht="22.5" customHeight="1">
      <c r="A265" s="2">
        <v>262144.0</v>
      </c>
      <c r="B265" s="2">
        <v>23.0</v>
      </c>
      <c r="C265" s="2">
        <v>262167.0</v>
      </c>
      <c r="D265" s="3">
        <v>0.0819005</v>
      </c>
      <c r="E265" s="3">
        <v>0.08507736</v>
      </c>
      <c r="F265" s="2">
        <v>16.0</v>
      </c>
      <c r="G265" s="2">
        <v>131072.0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ht="22.5" customHeight="1">
      <c r="A266" s="2">
        <v>262144.0</v>
      </c>
      <c r="B266" s="2">
        <v>24.0</v>
      </c>
      <c r="C266" s="2">
        <v>262168.0</v>
      </c>
      <c r="D266" s="3">
        <v>0.079631119</v>
      </c>
      <c r="E266" s="3">
        <v>0.081508739</v>
      </c>
      <c r="F266" s="2">
        <v>16.0</v>
      </c>
      <c r="G266" s="2">
        <v>131072.0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ht="22.5" customHeight="1">
      <c r="A267" s="2">
        <v>262144.0</v>
      </c>
      <c r="B267" s="2">
        <v>25.0</v>
      </c>
      <c r="C267" s="2">
        <v>262169.0</v>
      </c>
      <c r="D267" s="3">
        <v>0.081640335</v>
      </c>
      <c r="E267" s="3">
        <v>0.092441956</v>
      </c>
      <c r="F267" s="2">
        <v>16.0</v>
      </c>
      <c r="G267" s="2">
        <v>131072.0</v>
      </c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ht="22.5" customHeight="1">
      <c r="A268" s="2">
        <v>262144.0</v>
      </c>
      <c r="B268" s="2">
        <v>26.0</v>
      </c>
      <c r="C268" s="2">
        <v>262170.0</v>
      </c>
      <c r="D268" s="3">
        <v>0.08180437</v>
      </c>
      <c r="E268" s="3">
        <v>0.085716162</v>
      </c>
      <c r="F268" s="2">
        <v>16.0</v>
      </c>
      <c r="G268" s="2">
        <v>131072.0</v>
      </c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ht="22.5" customHeight="1">
      <c r="A269" s="2">
        <v>262144.0</v>
      </c>
      <c r="B269" s="2">
        <v>27.0</v>
      </c>
      <c r="C269" s="2">
        <v>262171.0</v>
      </c>
      <c r="D269" s="3">
        <v>0.066771016</v>
      </c>
      <c r="E269" s="3">
        <v>0.065949396</v>
      </c>
      <c r="F269" s="2">
        <v>16.0</v>
      </c>
      <c r="G269" s="2">
        <v>131072.0</v>
      </c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ht="22.5" customHeight="1">
      <c r="A270" s="2">
        <v>262144.0</v>
      </c>
      <c r="B270" s="2">
        <v>28.0</v>
      </c>
      <c r="C270" s="2">
        <v>262172.0</v>
      </c>
      <c r="D270" s="3">
        <v>0.079586408</v>
      </c>
      <c r="E270" s="3">
        <v>0.080806197</v>
      </c>
      <c r="F270" s="2">
        <v>16.0</v>
      </c>
      <c r="G270" s="2">
        <v>131072.0</v>
      </c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ht="22.5" customHeight="1">
      <c r="A271" s="2">
        <v>262144.0</v>
      </c>
      <c r="B271" s="2">
        <v>29.0</v>
      </c>
      <c r="C271" s="2">
        <v>262173.0</v>
      </c>
      <c r="D271" s="3">
        <v>0.071074887</v>
      </c>
      <c r="E271" s="3">
        <v>0.067526284</v>
      </c>
      <c r="F271" s="2">
        <v>16.0</v>
      </c>
      <c r="G271" s="2">
        <v>131072.0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</sheetData>
  <dataValidations>
    <dataValidation type="custom" allowBlank="1" showDropDown="1" sqref="J4:N12 D2:E271">
      <formula1>AND(ISNUMBER(D2),(NOT(OR(NOT(ISERROR(DATEVALUE(D2))), AND(ISNUMBER(D2), LEFT(CELL("format", D2))="D")))))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4" width="15.75"/>
    <col customWidth="1" min="5" max="5" width="16.0"/>
    <col customWidth="1" min="6" max="6" width="24.38"/>
    <col customWidth="1" min="7" max="7" width="16.25"/>
    <col customWidth="1" min="8" max="9" width="15.75"/>
    <col customWidth="1" min="10" max="10" width="13.0"/>
  </cols>
  <sheetData>
    <row r="2" ht="22.5" customHeight="1">
      <c r="B2" s="8" t="s">
        <v>0</v>
      </c>
      <c r="C2" s="8" t="s">
        <v>13</v>
      </c>
      <c r="D2" s="8" t="s">
        <v>14</v>
      </c>
      <c r="E2" s="8" t="s">
        <v>15</v>
      </c>
      <c r="G2" s="8" t="s">
        <v>0</v>
      </c>
      <c r="H2" s="8" t="s">
        <v>13</v>
      </c>
      <c r="I2" s="8" t="s">
        <v>14</v>
      </c>
      <c r="J2" s="8" t="s">
        <v>15</v>
      </c>
    </row>
    <row r="3" ht="22.5" customHeight="1">
      <c r="B3" s="8">
        <v>1024.0</v>
      </c>
      <c r="C3" s="11">
        <f>Pila!K4</f>
        <v>0.0006676881333</v>
      </c>
      <c r="D3" s="11">
        <f>Pila!K16</f>
        <v>0.0006533764667</v>
      </c>
      <c r="E3" s="10">
        <f t="shared" ref="E3:E11" si="1">D3/C3</f>
        <v>0.9785653422</v>
      </c>
      <c r="G3" s="8">
        <v>1024.0</v>
      </c>
      <c r="H3" s="9">
        <f>Fila!L4</f>
        <v>0.0004444922</v>
      </c>
      <c r="I3" s="9">
        <f>Fila!L16</f>
        <v>0.0004560768</v>
      </c>
      <c r="J3" s="10">
        <f t="shared" ref="J3:J11" si="2">I3/H3</f>
        <v>1.02606255</v>
      </c>
    </row>
    <row r="4" ht="22.5" customHeight="1">
      <c r="B4" s="8">
        <v>2048.0</v>
      </c>
      <c r="C4" s="11">
        <f>Pila!K5</f>
        <v>0.000640719</v>
      </c>
      <c r="D4" s="11">
        <f>Pila!K17</f>
        <v>0.0005903546</v>
      </c>
      <c r="E4" s="10">
        <f t="shared" si="1"/>
        <v>0.921393934</v>
      </c>
      <c r="G4" s="8">
        <v>2048.0</v>
      </c>
      <c r="H4" s="9">
        <f>Fila!L5</f>
        <v>0.0004580424</v>
      </c>
      <c r="I4" s="9">
        <f>Fila!L17</f>
        <v>0.0004562324333</v>
      </c>
      <c r="J4" s="10">
        <f t="shared" si="2"/>
        <v>0.9960484735</v>
      </c>
    </row>
    <row r="5" ht="22.5" customHeight="1">
      <c r="B5" s="8">
        <v>4096.0</v>
      </c>
      <c r="C5" s="11">
        <f>Pila!K6</f>
        <v>0.0010981774</v>
      </c>
      <c r="D5" s="11">
        <f>Pila!K18</f>
        <v>0.0010981774</v>
      </c>
      <c r="E5" s="10">
        <f t="shared" si="1"/>
        <v>1</v>
      </c>
      <c r="G5" s="8">
        <v>4096.0</v>
      </c>
      <c r="H5" s="9">
        <f>Fila!L6</f>
        <v>0.0006833893667</v>
      </c>
      <c r="I5" s="9">
        <f>Fila!L18</f>
        <v>0.0006562008667</v>
      </c>
      <c r="J5" s="10">
        <f t="shared" si="2"/>
        <v>0.9602152136</v>
      </c>
    </row>
    <row r="6" ht="22.5" customHeight="1">
      <c r="B6" s="8">
        <v>8192.0</v>
      </c>
      <c r="C6" s="11">
        <f>Pila!K7</f>
        <v>0.0006147074</v>
      </c>
      <c r="D6" s="11">
        <f>Pila!K19</f>
        <v>0.0005819556</v>
      </c>
      <c r="E6" s="10">
        <f t="shared" si="1"/>
        <v>0.9467196914</v>
      </c>
      <c r="G6" s="8">
        <v>8192.0</v>
      </c>
      <c r="H6" s="9">
        <f>Fila!L7</f>
        <v>0.0008162727</v>
      </c>
      <c r="I6" s="9">
        <f>Fila!L19</f>
        <v>0.0008348124</v>
      </c>
      <c r="J6" s="10">
        <f t="shared" si="2"/>
        <v>1.02271263</v>
      </c>
    </row>
    <row r="7" ht="22.5" customHeight="1">
      <c r="B7" s="8">
        <v>16384.0</v>
      </c>
      <c r="C7" s="11">
        <f>Pila!K8</f>
        <v>0.0006249673333</v>
      </c>
      <c r="D7" s="11">
        <f>Pila!K20</f>
        <v>0.0006363367</v>
      </c>
      <c r="E7" s="10">
        <f t="shared" si="1"/>
        <v>1.018191937</v>
      </c>
      <c r="G7" s="8">
        <v>16384.0</v>
      </c>
      <c r="H7" s="9">
        <f>Fila!L8</f>
        <v>0.0015358348</v>
      </c>
      <c r="I7" s="9">
        <f>Fila!L20</f>
        <v>0.001547563867</v>
      </c>
      <c r="J7" s="10">
        <f t="shared" si="2"/>
        <v>1.007636932</v>
      </c>
    </row>
    <row r="8" ht="22.5" customHeight="1">
      <c r="B8" s="8">
        <v>32768.0</v>
      </c>
      <c r="C8" s="11">
        <f>Pila!K9</f>
        <v>0.001344878967</v>
      </c>
      <c r="D8" s="11">
        <f>Pila!K21</f>
        <v>0.0012778936</v>
      </c>
      <c r="E8" s="10">
        <f t="shared" si="1"/>
        <v>0.9501922713</v>
      </c>
      <c r="G8" s="8">
        <v>32768.0</v>
      </c>
      <c r="H8" s="9">
        <f>Fila!L9</f>
        <v>0.004134039933</v>
      </c>
      <c r="I8" s="9">
        <f>Fila!L21</f>
        <v>0.004114257733</v>
      </c>
      <c r="J8" s="10">
        <f t="shared" si="2"/>
        <v>0.9952148019</v>
      </c>
    </row>
    <row r="9" ht="22.5" customHeight="1">
      <c r="B9" s="8">
        <v>65536.0</v>
      </c>
      <c r="C9" s="11">
        <f>Pila!K10</f>
        <v>0.001960907967</v>
      </c>
      <c r="D9" s="11">
        <f>Pila!K22</f>
        <v>0.001940832233</v>
      </c>
      <c r="E9" s="10">
        <f t="shared" si="1"/>
        <v>0.9897620216</v>
      </c>
      <c r="G9" s="8">
        <v>65536.0</v>
      </c>
      <c r="H9" s="9">
        <f>Fila!L10</f>
        <v>0.008927188767</v>
      </c>
      <c r="I9" s="9">
        <f>Fila!L22</f>
        <v>0.008868965933</v>
      </c>
      <c r="J9" s="10">
        <f t="shared" si="2"/>
        <v>0.9934780327</v>
      </c>
    </row>
    <row r="10" ht="22.5" customHeight="1">
      <c r="B10" s="8">
        <v>131072.0</v>
      </c>
      <c r="C10" s="11">
        <f>Pila!K11</f>
        <v>0.006446628933</v>
      </c>
      <c r="D10" s="11">
        <f>Pila!K23</f>
        <v>0.0065224851</v>
      </c>
      <c r="E10" s="10">
        <f t="shared" si="1"/>
        <v>1.011766796</v>
      </c>
      <c r="G10" s="8">
        <v>131072.0</v>
      </c>
      <c r="H10" s="9">
        <f>Fila!L11</f>
        <v>0.03476415033</v>
      </c>
      <c r="I10" s="9">
        <f>Fila!L23</f>
        <v>0.03413516743</v>
      </c>
      <c r="J10" s="10">
        <f t="shared" si="2"/>
        <v>0.9819071401</v>
      </c>
    </row>
    <row r="11" ht="22.5" customHeight="1">
      <c r="B11" s="8">
        <v>262144.0</v>
      </c>
      <c r="C11" s="11">
        <f>Pila!K12</f>
        <v>0.01388806723</v>
      </c>
      <c r="D11" s="11">
        <f>Pila!K24</f>
        <v>0.01185636873</v>
      </c>
      <c r="E11" s="10">
        <f t="shared" si="1"/>
        <v>0.8537090535</v>
      </c>
      <c r="G11" s="8">
        <v>262144.0</v>
      </c>
      <c r="H11" s="9">
        <f>Fila!L12</f>
        <v>0.0818594399</v>
      </c>
      <c r="I11" s="9">
        <f>Fila!L24</f>
        <v>0.0831126119</v>
      </c>
      <c r="J11" s="10">
        <f t="shared" si="2"/>
        <v>1.015308827</v>
      </c>
    </row>
    <row r="14" ht="22.5" customHeight="1">
      <c r="B14" s="8" t="s">
        <v>0</v>
      </c>
      <c r="C14" s="8" t="s">
        <v>13</v>
      </c>
      <c r="D14" s="8" t="s">
        <v>14</v>
      </c>
      <c r="G14" s="8" t="s">
        <v>0</v>
      </c>
      <c r="H14" s="8" t="s">
        <v>13</v>
      </c>
      <c r="I14" s="8" t="s">
        <v>14</v>
      </c>
    </row>
    <row r="15" ht="22.5" customHeight="1">
      <c r="B15" s="8">
        <v>2048.0</v>
      </c>
      <c r="C15" s="10">
        <f t="shared" ref="C15:D15" si="3">C4/C3</f>
        <v>0.9596081883</v>
      </c>
      <c r="D15" s="10">
        <f t="shared" si="3"/>
        <v>0.9035443272</v>
      </c>
      <c r="G15" s="8">
        <v>2048.0</v>
      </c>
      <c r="H15" s="10">
        <f t="shared" ref="H15:I15" si="4">H4/H3</f>
        <v>1.030484674</v>
      </c>
      <c r="I15" s="10">
        <f t="shared" si="4"/>
        <v>1.000341244</v>
      </c>
    </row>
    <row r="16" ht="22.5" customHeight="1">
      <c r="B16" s="8">
        <v>4096.0</v>
      </c>
      <c r="C16" s="10">
        <f t="shared" ref="C16:D16" si="5">C5/C4</f>
        <v>1.713976642</v>
      </c>
      <c r="D16" s="10">
        <f t="shared" si="5"/>
        <v>1.860199616</v>
      </c>
      <c r="G16" s="8">
        <v>4096.0</v>
      </c>
      <c r="H16" s="10">
        <f t="shared" ref="H16:I16" si="6">H5/H4</f>
        <v>1.491978399</v>
      </c>
      <c r="I16" s="10">
        <f t="shared" si="6"/>
        <v>1.438303853</v>
      </c>
    </row>
    <row r="17" ht="22.5" customHeight="1">
      <c r="B17" s="8">
        <v>8192.0</v>
      </c>
      <c r="C17" s="10">
        <f t="shared" ref="C17:D17" si="7">C6/C5</f>
        <v>0.5597523679</v>
      </c>
      <c r="D17" s="10">
        <f t="shared" si="7"/>
        <v>0.529928589</v>
      </c>
      <c r="G17" s="8">
        <v>8192.0</v>
      </c>
      <c r="H17" s="10">
        <f t="shared" ref="H17:I17" si="8">H6/H5</f>
        <v>1.19444747</v>
      </c>
      <c r="I17" s="10">
        <f t="shared" si="8"/>
        <v>1.272190334</v>
      </c>
    </row>
    <row r="18" ht="22.5" customHeight="1">
      <c r="B18" s="8">
        <v>16384.0</v>
      </c>
      <c r="C18" s="10">
        <f t="shared" ref="C18:D18" si="9">C7/C6</f>
        <v>1.016690759</v>
      </c>
      <c r="D18" s="10">
        <f t="shared" si="9"/>
        <v>1.093445445</v>
      </c>
      <c r="G18" s="8">
        <v>16384.0</v>
      </c>
      <c r="H18" s="10">
        <f t="shared" ref="H18:I18" si="10">H7/H6</f>
        <v>1.881521702</v>
      </c>
      <c r="I18" s="10">
        <f t="shared" si="10"/>
        <v>1.853786392</v>
      </c>
    </row>
    <row r="19" ht="22.5" customHeight="1">
      <c r="B19" s="8">
        <v>32768.0</v>
      </c>
      <c r="C19" s="10">
        <f t="shared" ref="C19:D19" si="11">C8/C7</f>
        <v>2.15191882</v>
      </c>
      <c r="D19" s="10">
        <f t="shared" si="11"/>
        <v>2.008203519</v>
      </c>
      <c r="G19" s="8">
        <v>32768.0</v>
      </c>
      <c r="H19" s="10">
        <f t="shared" ref="H19:I19" si="12">H8/H7</f>
        <v>2.691721749</v>
      </c>
      <c r="I19" s="10">
        <f t="shared" si="12"/>
        <v>2.65853825</v>
      </c>
    </row>
    <row r="20" ht="22.5" customHeight="1">
      <c r="B20" s="8">
        <v>65536.0</v>
      </c>
      <c r="C20" s="10">
        <f t="shared" ref="C20:D20" si="13">C9/C8</f>
        <v>1.458055346</v>
      </c>
      <c r="D20" s="10">
        <f t="shared" si="13"/>
        <v>1.518774516</v>
      </c>
      <c r="G20" s="8">
        <v>65536.0</v>
      </c>
      <c r="H20" s="10">
        <f t="shared" ref="H20:I20" si="14">H9/H8</f>
        <v>2.159434575</v>
      </c>
      <c r="I20" s="10">
        <f t="shared" si="14"/>
        <v>2.155666103</v>
      </c>
    </row>
    <row r="21" ht="22.5" customHeight="1">
      <c r="B21" s="8">
        <v>131072.0</v>
      </c>
      <c r="C21" s="10">
        <f t="shared" ref="C21:D21" si="15">C10/C9</f>
        <v>3.287573432</v>
      </c>
      <c r="D21" s="10">
        <f t="shared" si="15"/>
        <v>3.360664043</v>
      </c>
      <c r="G21" s="8">
        <v>131072.0</v>
      </c>
      <c r="H21" s="10">
        <f t="shared" ref="H21:I21" si="16">H10/H9</f>
        <v>3.894187884</v>
      </c>
      <c r="I21" s="10">
        <f t="shared" si="16"/>
        <v>3.84883285</v>
      </c>
    </row>
    <row r="22" ht="22.5" customHeight="1">
      <c r="B22" s="8">
        <v>262144.0</v>
      </c>
      <c r="C22" s="10">
        <f t="shared" ref="C22:D22" si="17">C11/C10</f>
        <v>2.154314662</v>
      </c>
      <c r="D22" s="10">
        <f t="shared" si="17"/>
        <v>1.817768619</v>
      </c>
      <c r="G22" s="8">
        <v>262144.0</v>
      </c>
      <c r="H22" s="10">
        <f t="shared" ref="H22:I22" si="18">H11/H10</f>
        <v>2.354708489</v>
      </c>
      <c r="I22" s="10">
        <f t="shared" si="18"/>
        <v>2.434808971</v>
      </c>
    </row>
    <row r="25" ht="22.5" customHeight="1">
      <c r="B25" s="8" t="s">
        <v>0</v>
      </c>
      <c r="C25" s="8" t="s">
        <v>13</v>
      </c>
      <c r="D25" s="8" t="s">
        <v>14</v>
      </c>
      <c r="G25" s="8" t="s">
        <v>0</v>
      </c>
      <c r="H25" s="8" t="s">
        <v>13</v>
      </c>
      <c r="I25" s="8" t="s">
        <v>14</v>
      </c>
    </row>
    <row r="26" ht="22.5" customHeight="1">
      <c r="B26" s="8">
        <v>2048.0</v>
      </c>
      <c r="C26" s="10">
        <f t="shared" ref="C26:D26" si="19">LOG(C15, 2)</f>
        <v>-0.05948262669</v>
      </c>
      <c r="D26" s="10">
        <f t="shared" si="19"/>
        <v>-0.1463327145</v>
      </c>
      <c r="G26" s="8">
        <v>2048.0</v>
      </c>
      <c r="H26" s="10">
        <f t="shared" ref="H26:I26" si="20">LOG(H15, 2)</f>
        <v>0.04332304898</v>
      </c>
      <c r="I26" s="10">
        <f t="shared" si="20"/>
        <v>0.0004922266095</v>
      </c>
    </row>
    <row r="27" ht="22.5" customHeight="1">
      <c r="B27" s="8">
        <v>4096.0</v>
      </c>
      <c r="C27" s="10">
        <f t="shared" ref="C27:D27" si="21">LOG(C16, 2)</f>
        <v>0.7773474485</v>
      </c>
      <c r="D27" s="10">
        <f t="shared" si="21"/>
        <v>0.8954574434</v>
      </c>
      <c r="G27" s="8">
        <v>4096.0</v>
      </c>
      <c r="H27" s="10">
        <f t="shared" ref="H27:I27" si="22">LOG(H16, 2)</f>
        <v>0.5772266484</v>
      </c>
      <c r="I27" s="10">
        <f t="shared" si="22"/>
        <v>0.5243684885</v>
      </c>
    </row>
    <row r="28" ht="22.5" customHeight="1">
      <c r="B28" s="8">
        <v>8192.0</v>
      </c>
      <c r="C28" s="10">
        <f t="shared" ref="C28:D28" si="23">LOG(C17, 2)</f>
        <v>-0.8371393689</v>
      </c>
      <c r="D28" s="10">
        <f t="shared" si="23"/>
        <v>-0.9161301339</v>
      </c>
      <c r="G28" s="8">
        <v>8192.0</v>
      </c>
      <c r="H28" s="10">
        <f t="shared" ref="H28:I28" si="24">LOG(H17, 2)</f>
        <v>0.2563434076</v>
      </c>
      <c r="I28" s="10">
        <f t="shared" si="24"/>
        <v>0.3473145307</v>
      </c>
    </row>
    <row r="29" ht="22.5" customHeight="1">
      <c r="B29" s="8">
        <v>16384.0</v>
      </c>
      <c r="C29" s="10">
        <f t="shared" ref="C29:D29" si="25">LOG(C18, 2)</f>
        <v>0.02388093025</v>
      </c>
      <c r="D29" s="10">
        <f t="shared" si="25"/>
        <v>0.1288812421</v>
      </c>
      <c r="G29" s="8">
        <v>16384.0</v>
      </c>
      <c r="H29" s="10">
        <f t="shared" ref="H29:I29" si="26">LOG(H18, 2)</f>
        <v>0.9118999301</v>
      </c>
      <c r="I29" s="10">
        <f t="shared" si="26"/>
        <v>0.8904750144</v>
      </c>
    </row>
    <row r="30" ht="22.5" customHeight="1">
      <c r="B30" s="8">
        <v>32768.0</v>
      </c>
      <c r="C30" s="10">
        <f t="shared" ref="C30:D30" si="27">LOG(C19, 2)</f>
        <v>1.105623654</v>
      </c>
      <c r="D30" s="10">
        <f t="shared" si="27"/>
        <v>1.005905485</v>
      </c>
      <c r="G30" s="8">
        <v>32768.0</v>
      </c>
      <c r="H30" s="10">
        <f t="shared" ref="H30:I30" si="28">LOG(H19, 2)</f>
        <v>1.428529282</v>
      </c>
      <c r="I30" s="10">
        <f t="shared" si="28"/>
        <v>1.410633223</v>
      </c>
    </row>
    <row r="31" ht="22.5" customHeight="1">
      <c r="B31" s="8">
        <v>65536.0</v>
      </c>
      <c r="C31" s="10">
        <f t="shared" ref="C31:D31" si="29">LOG(C20, 2)</f>
        <v>0.5440454833</v>
      </c>
      <c r="D31" s="10">
        <f t="shared" si="29"/>
        <v>0.6029076965</v>
      </c>
      <c r="G31" s="8">
        <v>65536.0</v>
      </c>
      <c r="H31" s="10">
        <f t="shared" ref="H31:I31" si="30">LOG(H20, 2)</f>
        <v>1.110653607</v>
      </c>
      <c r="I31" s="10">
        <f t="shared" si="30"/>
        <v>1.108133732</v>
      </c>
    </row>
    <row r="32" ht="22.5" customHeight="1">
      <c r="B32" s="8">
        <v>131072.0</v>
      </c>
      <c r="C32" s="10">
        <f t="shared" ref="C32:D32" si="31">LOG(C21, 2)</f>
        <v>1.717023119</v>
      </c>
      <c r="D32" s="10">
        <f t="shared" si="31"/>
        <v>1.748746327</v>
      </c>
      <c r="G32" s="8">
        <v>131072.0</v>
      </c>
      <c r="H32" s="10">
        <f t="shared" ref="H32:I32" si="32">LOG(H21, 2)</f>
        <v>1.961322492</v>
      </c>
      <c r="I32" s="10">
        <f t="shared" si="32"/>
        <v>1.944421018</v>
      </c>
    </row>
    <row r="33" ht="22.5" customHeight="1">
      <c r="B33" s="8">
        <v>262144.0</v>
      </c>
      <c r="C33" s="10">
        <f t="shared" ref="C33:D33" si="33">LOG(C22, 2)</f>
        <v>1.107228987</v>
      </c>
      <c r="D33" s="10">
        <f t="shared" si="33"/>
        <v>0.8621685728</v>
      </c>
      <c r="G33" s="8">
        <v>262144.0</v>
      </c>
      <c r="H33" s="10">
        <f t="shared" ref="H33:I33" si="34">LOG(H22, 2)</f>
        <v>1.235548466</v>
      </c>
      <c r="I33" s="10">
        <f t="shared" si="34"/>
        <v>1.283808587</v>
      </c>
    </row>
    <row r="36" ht="22.5" customHeight="1">
      <c r="B36" s="8" t="s">
        <v>0</v>
      </c>
      <c r="C36" s="8" t="s">
        <v>16</v>
      </c>
      <c r="D36" s="8" t="s">
        <v>17</v>
      </c>
      <c r="G36" s="8" t="s">
        <v>0</v>
      </c>
      <c r="H36" s="8" t="s">
        <v>16</v>
      </c>
      <c r="I36" s="8" t="s">
        <v>17</v>
      </c>
    </row>
    <row r="37" ht="22.5" customHeight="1">
      <c r="B37" s="8">
        <v>1024.0</v>
      </c>
      <c r="C37" s="8">
        <v>9.0</v>
      </c>
      <c r="D37" s="8">
        <v>1024.0</v>
      </c>
      <c r="G37" s="8">
        <v>1024.0</v>
      </c>
      <c r="H37" s="8">
        <v>8.0</v>
      </c>
      <c r="I37" s="8">
        <v>512.0</v>
      </c>
    </row>
    <row r="38" ht="22.5" customHeight="1">
      <c r="B38" s="8">
        <v>2048.0</v>
      </c>
      <c r="C38" s="8">
        <v>10.0</v>
      </c>
      <c r="D38" s="8">
        <v>2048.0</v>
      </c>
      <c r="G38" s="8">
        <v>2048.0</v>
      </c>
      <c r="H38" s="8">
        <v>9.0</v>
      </c>
      <c r="I38" s="8">
        <v>1024.0</v>
      </c>
    </row>
    <row r="39" ht="22.5" customHeight="1">
      <c r="B39" s="8">
        <v>4096.0</v>
      </c>
      <c r="C39" s="8">
        <v>11.0</v>
      </c>
      <c r="D39" s="8">
        <v>4096.0</v>
      </c>
      <c r="G39" s="8">
        <v>4096.0</v>
      </c>
      <c r="H39" s="8">
        <v>10.0</v>
      </c>
      <c r="I39" s="8">
        <v>2048.0</v>
      </c>
    </row>
    <row r="40" ht="22.5" customHeight="1">
      <c r="B40" s="8">
        <v>8192.0</v>
      </c>
      <c r="C40" s="8">
        <v>12.0</v>
      </c>
      <c r="D40" s="8">
        <v>8192.0</v>
      </c>
      <c r="G40" s="8">
        <v>8192.0</v>
      </c>
      <c r="H40" s="8">
        <v>11.0</v>
      </c>
      <c r="I40" s="8">
        <v>4096.0</v>
      </c>
    </row>
    <row r="41" ht="22.5" customHeight="1">
      <c r="B41" s="8">
        <v>16384.0</v>
      </c>
      <c r="C41" s="8">
        <v>13.0</v>
      </c>
      <c r="D41" s="8">
        <v>16384.0</v>
      </c>
      <c r="G41" s="8">
        <v>16384.0</v>
      </c>
      <c r="H41" s="8">
        <v>12.0</v>
      </c>
      <c r="I41" s="8">
        <v>8192.0</v>
      </c>
    </row>
    <row r="42" ht="22.5" customHeight="1">
      <c r="B42" s="8">
        <v>32768.0</v>
      </c>
      <c r="C42" s="8">
        <v>14.0</v>
      </c>
      <c r="D42" s="8">
        <v>32768.0</v>
      </c>
      <c r="G42" s="8">
        <v>32768.0</v>
      </c>
      <c r="H42" s="8">
        <v>13.0</v>
      </c>
      <c r="I42" s="8">
        <v>16384.0</v>
      </c>
    </row>
    <row r="43" ht="22.5" customHeight="1">
      <c r="B43" s="8">
        <v>65536.0</v>
      </c>
      <c r="C43" s="8">
        <v>15.0</v>
      </c>
      <c r="D43" s="8">
        <v>65536.0</v>
      </c>
      <c r="G43" s="8">
        <v>65536.0</v>
      </c>
      <c r="H43" s="8">
        <v>14.0</v>
      </c>
      <c r="I43" s="8">
        <v>32768.0</v>
      </c>
    </row>
    <row r="44" ht="22.5" customHeight="1">
      <c r="B44" s="8">
        <v>131072.0</v>
      </c>
      <c r="C44" s="8">
        <v>16.0</v>
      </c>
      <c r="D44" s="8">
        <v>131072.0</v>
      </c>
      <c r="G44" s="8">
        <v>131072.0</v>
      </c>
      <c r="H44" s="8">
        <v>15.0</v>
      </c>
      <c r="I44" s="8">
        <v>65536.0</v>
      </c>
    </row>
    <row r="45" ht="22.5" customHeight="1">
      <c r="B45" s="8">
        <v>262144.0</v>
      </c>
      <c r="C45" s="12">
        <v>17.0</v>
      </c>
      <c r="D45" s="8">
        <v>262144.0</v>
      </c>
      <c r="G45" s="8">
        <v>262144.0</v>
      </c>
      <c r="H45" s="12">
        <v>16.0</v>
      </c>
      <c r="I45" s="8">
        <v>131072.0</v>
      </c>
    </row>
  </sheetData>
  <dataValidations>
    <dataValidation type="custom" allowBlank="1" showDropDown="1" sqref="H3:I11 C3:D11">
      <formula1>AND(ISNUMBER(C3),(NOT(OR(NOT(ISERROR(DATEVALUE(C3))), AND(ISNUMBER(C3), LEFT(CELL("format", C3))="D")))))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